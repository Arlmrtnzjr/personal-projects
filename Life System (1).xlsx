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Habits" sheetId="2" r:id="rId6"/>
    <sheet state="visible" name="Finances" sheetId="3" r:id="rId7"/>
    <sheet state="visible" name="Life System" sheetId="4" r:id="rId8"/>
    <sheet state="visible" name="Workout" sheetId="5" r:id="rId9"/>
    <sheet state="visible" name="Progress Tracker" sheetId="6" r:id="rId10"/>
  </sheets>
  <definedNames/>
  <calcPr/>
</workbook>
</file>

<file path=xl/sharedStrings.xml><?xml version="1.0" encoding="utf-8"?>
<sst xmlns="http://schemas.openxmlformats.org/spreadsheetml/2006/main" count="358" uniqueCount="220">
  <si>
    <t>LIFE SYSTEM</t>
  </si>
  <si>
    <t>TOTAL MONEY</t>
  </si>
  <si>
    <t>HABIT SCORE</t>
  </si>
  <si>
    <t>DAYS COMPLETED</t>
  </si>
  <si>
    <t>From Finances sheet</t>
  </si>
  <si>
    <t>✔ this week</t>
  </si>
  <si>
    <t>Habits with at least 1 check</t>
  </si>
  <si>
    <t>RANK</t>
  </si>
  <si>
    <t>TOP GOOD HABITS  ✔</t>
  </si>
  <si>
    <t>TOP BAD HABITS  ✖</t>
  </si>
  <si>
    <t>CURRENT BOOK</t>
  </si>
  <si>
    <t>THIS WEEK'S FOCUS</t>
  </si>
  <si>
    <t>Complete this Life System Tracker</t>
  </si>
  <si>
    <t>HOW TO USE THIS SYSTEM</t>
  </si>
  <si>
    <t>1.  HABITS tab</t>
  </si>
  <si>
    <t>Log ✔ or ✖ each day for every habit. Column J auto-totals your week.</t>
  </si>
  <si>
    <t>2.  FINANCES tab</t>
  </si>
  <si>
    <t>Add each income or expense as a new row. Balance updates automatically.</t>
  </si>
  <si>
    <t>3.  LIFE SYSTEM tab</t>
  </si>
  <si>
    <t>Track books, courses, projects, and skills. Add reflections anytime.</t>
  </si>
  <si>
    <t>4.  WORKOUT tab</t>
  </si>
  <si>
    <t>Mark ✔ for each completed workout. Choose from 3 rotating plans.</t>
  </si>
  <si>
    <t>5.  PROGRESS tab</t>
  </si>
  <si>
    <t>Review your week/month. Fill in the Weekly Summary every Sunday.</t>
  </si>
  <si>
    <t>HABITS TRACKER</t>
  </si>
  <si>
    <t>HABIT NAME</t>
  </si>
  <si>
    <t>TYPE</t>
  </si>
  <si>
    <t>MON</t>
  </si>
  <si>
    <t>TUE</t>
  </si>
  <si>
    <t>WED</t>
  </si>
  <si>
    <t>THU</t>
  </si>
  <si>
    <t>FRI</t>
  </si>
  <si>
    <t>SAT</t>
  </si>
  <si>
    <t>SUN</t>
  </si>
  <si>
    <t>TOTAL</t>
  </si>
  <si>
    <t>NOTES</t>
  </si>
  <si>
    <t>Morning Exercise</t>
  </si>
  <si>
    <t>Good</t>
  </si>
  <si>
    <t>✔</t>
  </si>
  <si>
    <t>Read 30 Minutes</t>
  </si>
  <si>
    <t>Meditate</t>
  </si>
  <si>
    <t>Hydrate</t>
  </si>
  <si>
    <t>8 cups a day</t>
  </si>
  <si>
    <t>Sleep Before 11PM</t>
  </si>
  <si>
    <t>Social Media Scroll</t>
  </si>
  <si>
    <t>Bad</t>
  </si>
  <si>
    <t>✖</t>
  </si>
  <si>
    <t>If my phone screen time goes over 2 hours</t>
  </si>
  <si>
    <t>Skipped Workout</t>
  </si>
  <si>
    <t>Ate Junk Food</t>
  </si>
  <si>
    <t>Procrastinated</t>
  </si>
  <si>
    <t>Slept Late</t>
  </si>
  <si>
    <t>Porn</t>
  </si>
  <si>
    <t>Clean room</t>
  </si>
  <si>
    <t>WEEKLY TOTAL  ✔</t>
  </si>
  <si>
    <t>FINANCES</t>
  </si>
  <si>
    <t>TOTAL INCOME</t>
  </si>
  <si>
    <t>TOTAL EXPENSES</t>
  </si>
  <si>
    <t>NET BALANCE</t>
  </si>
  <si>
    <t>DATE</t>
  </si>
  <si>
    <t>DESCRIPTION</t>
  </si>
  <si>
    <t>AMOUNT</t>
  </si>
  <si>
    <t>RUNNING BALANCE</t>
  </si>
  <si>
    <t>CATEGORY</t>
  </si>
  <si>
    <t>SPENDING BY CATEGORY</t>
  </si>
  <si>
    <t>Monthly Allowance</t>
  </si>
  <si>
    <t>Income</t>
  </si>
  <si>
    <t>Groceries</t>
  </si>
  <si>
    <t>TOTAL SPENT</t>
  </si>
  <si>
    <t>% OF EXPENSES</t>
  </si>
  <si>
    <t>Expense</t>
  </si>
  <si>
    <t>Electric Bill</t>
  </si>
  <si>
    <t>Bills &amp; Utilities</t>
  </si>
  <si>
    <t>Freelance Project</t>
  </si>
  <si>
    <t>Transport</t>
  </si>
  <si>
    <t>Apr 5, 2026</t>
  </si>
  <si>
    <t>Coffee &amp; Snacks</t>
  </si>
  <si>
    <t>Food &amp; Dining</t>
  </si>
  <si>
    <t>Entertainment</t>
  </si>
  <si>
    <t>Health</t>
  </si>
  <si>
    <t>Other</t>
  </si>
  <si>
    <t>↑  Type category name (e.g. Groceries) in the CATEGORY column of each expense to auto-tally.</t>
  </si>
  <si>
    <t>LIFE SYSTEM  ·  Goals · Learning · Projects</t>
  </si>
  <si>
    <t>📖  BOOKS</t>
  </si>
  <si>
    <t>TITLE</t>
  </si>
  <si>
    <t>AUTHOR</t>
  </si>
  <si>
    <t>STATUS</t>
  </si>
  <si>
    <t>RATING</t>
  </si>
  <si>
    <t>Can't Hurt Me: Master Your Mind and Defy the Odds</t>
  </si>
  <si>
    <t>David Goggins</t>
  </si>
  <si>
    <t>Done</t>
  </si>
  <si>
    <t>⭐⭐⭐⭐⭐</t>
  </si>
  <si>
    <t>Game-changing</t>
  </si>
  <si>
    <t>Deep Work</t>
  </si>
  <si>
    <t>Cal Newport</t>
  </si>
  <si>
    <t>⭐⭐⭐</t>
  </si>
  <si>
    <t>It's okay</t>
  </si>
  <si>
    <t>The Alchemist</t>
  </si>
  <si>
    <t>Paulo Coelho</t>
  </si>
  <si>
    <t>⭐⭐</t>
  </si>
  <si>
    <t>Not really my kind of read</t>
  </si>
  <si>
    <t>Atomic Habits</t>
  </si>
  <si>
    <t>James Clear</t>
  </si>
  <si>
    <t>To Read</t>
  </si>
  <si>
    <t>The Psychology of Money</t>
  </si>
  <si>
    <t>Morgan Housel</t>
  </si>
  <si>
    <t>Reading</t>
  </si>
  <si>
    <t>🎓  COURSES &amp; SKILLS</t>
  </si>
  <si>
    <t>COURSE / SKILL</t>
  </si>
  <si>
    <t>PLATFORM</t>
  </si>
  <si>
    <t>STATUS ✔</t>
  </si>
  <si>
    <t>DEADLINE</t>
  </si>
  <si>
    <t>Python Basics</t>
  </si>
  <si>
    <t>Udemy</t>
  </si>
  <si>
    <t>✔ Done</t>
  </si>
  <si>
    <t>Google Sheets Mastery</t>
  </si>
  <si>
    <t>YouTube</t>
  </si>
  <si>
    <t>In Progress</t>
  </si>
  <si>
    <t>Apr 30</t>
  </si>
  <si>
    <t>Canva Design</t>
  </si>
  <si>
    <t>Skillshare</t>
  </si>
  <si>
    <t>Not Started</t>
  </si>
  <si>
    <t>May 15</t>
  </si>
  <si>
    <t>🗂  PROJECTS</t>
  </si>
  <si>
    <t>PROJECT NAME</t>
  </si>
  <si>
    <t>DUE DATE</t>
  </si>
  <si>
    <t>Life System Template</t>
  </si>
  <si>
    <t>Productivity</t>
  </si>
  <si>
    <t>Portfolio Website</t>
  </si>
  <si>
    <t>Personal Brand</t>
  </si>
  <si>
    <t>Notion Dashboard</t>
  </si>
  <si>
    <t>AI Content Creation &amp; Monetization Project (Tiktok)</t>
  </si>
  <si>
    <t>📝  REFLECTIONS &amp; NOTES</t>
  </si>
  <si>
    <t>ENTRY / REFLECTION</t>
  </si>
  <si>
    <t>Apr 1</t>
  </si>
  <si>
    <t>Started building the life system. Feeling motivated.</t>
  </si>
  <si>
    <t>Apr 3</t>
  </si>
  <si>
    <t>Habit tracking is working well. 5 ✔ today.</t>
  </si>
  <si>
    <t>Found a problem in the dashboard tabs at life system.</t>
  </si>
  <si>
    <t>WORKOUT TRACKER</t>
  </si>
  <si>
    <t>🏋️  PLAN A — STRENGTH</t>
  </si>
  <si>
    <t>📅  WEEKLY LOG</t>
  </si>
  <si>
    <t>EXERCISE</t>
  </si>
  <si>
    <t>SETS / REPS</t>
  </si>
  <si>
    <t>MUSCLE GROUP</t>
  </si>
  <si>
    <t>DONE ✔</t>
  </si>
  <si>
    <t>ENERGY (1-5)</t>
  </si>
  <si>
    <t>WEEK</t>
  </si>
  <si>
    <t>Pull-ups</t>
  </si>
  <si>
    <t>4 sets x 8 reps</t>
  </si>
  <si>
    <t>Back (lats), biceps, shoulders</t>
  </si>
  <si>
    <t>Week 1</t>
  </si>
  <si>
    <t>Push</t>
  </si>
  <si>
    <t>Push-ups</t>
  </si>
  <si>
    <t>4 sets x 12–15 reps</t>
  </si>
  <si>
    <t>Chest, shoulders, triceps, core</t>
  </si>
  <si>
    <t>Week 2</t>
  </si>
  <si>
    <t>Pull</t>
  </si>
  <si>
    <t>Dumbbell lateral raises</t>
  </si>
  <si>
    <t>3 sets x 15–20 reps</t>
  </si>
  <si>
    <t>Side delts (shoulders)</t>
  </si>
  <si>
    <t>Week 3</t>
  </si>
  <si>
    <t>Legs</t>
  </si>
  <si>
    <t>Pike push-ups</t>
  </si>
  <si>
    <t>3 sets x 10–12 reps</t>
  </si>
  <si>
    <t>Shoulders / triceps</t>
  </si>
  <si>
    <t>Week 4</t>
  </si>
  <si>
    <t>Bodyweight squats</t>
  </si>
  <si>
    <t>3 sets x 20 reps</t>
  </si>
  <si>
    <t>Quads, glutes, hamstrings, core</t>
  </si>
  <si>
    <t>Week 5</t>
  </si>
  <si>
    <t>Plank Hold</t>
  </si>
  <si>
    <t>3 sets x 45 sec</t>
  </si>
  <si>
    <t>Core</t>
  </si>
  <si>
    <t>Week 6</t>
  </si>
  <si>
    <t>Week 7</t>
  </si>
  <si>
    <t>Rest</t>
  </si>
  <si>
    <t>🏃  PLAN B — CARDIO &amp; CORE</t>
  </si>
  <si>
    <t>Week 8</t>
  </si>
  <si>
    <t>Jump rope intervals</t>
  </si>
  <si>
    <t>5 rounds, 2 mins</t>
  </si>
  <si>
    <t>Cardio</t>
  </si>
  <si>
    <t>Mountain climbers</t>
  </si>
  <si>
    <t>3 sets x 30 sec</t>
  </si>
  <si>
    <t>Hanging knee raises</t>
  </si>
  <si>
    <t>3 sets x 12–15 rep</t>
  </si>
  <si>
    <t>Core / Cardio</t>
  </si>
  <si>
    <t>Push-ups with shoulder taps</t>
  </si>
  <si>
    <t>3 sets x 12 each side</t>
  </si>
  <si>
    <t>3 x 20 reps</t>
  </si>
  <si>
    <t>Leg raises</t>
  </si>
  <si>
    <t>3 sets x 12–15 reps</t>
  </si>
  <si>
    <t>🧘  PLAN C — FLEXIBILITY &amp; RECOVERY</t>
  </si>
  <si>
    <t>15 minutes</t>
  </si>
  <si>
    <t>Flexibility</t>
  </si>
  <si>
    <t>20 minutes</t>
  </si>
  <si>
    <t>Mind + Body</t>
  </si>
  <si>
    <t>10 minutes</t>
  </si>
  <si>
    <t>Recovery</t>
  </si>
  <si>
    <t>5 minutes</t>
  </si>
  <si>
    <t>Mindfulness</t>
  </si>
  <si>
    <t>Active Recovery</t>
  </si>
  <si>
    <t>PROGRESS TRACKER  ·  Weekly &amp; Monthly Review</t>
  </si>
  <si>
    <t>SECTION A  —  WEEKLY SUMMARY</t>
  </si>
  <si>
    <t>WEEK (DATE RANGE)</t>
  </si>
  <si>
    <t>HABIT SCORE ✔</t>
  </si>
  <si>
    <t>DAYS ACTIVE</t>
  </si>
  <si>
    <t>WORKOUTS</t>
  </si>
  <si>
    <t>SPENDING</t>
  </si>
  <si>
    <t>This Week (Auto)</t>
  </si>
  <si>
    <t>Manual →</t>
  </si>
  <si>
    <t>Fill in notes each Sunday.</t>
  </si>
  <si>
    <t>SECTION B  —  MONTHLY SUMMARY</t>
  </si>
  <si>
    <t>MONTH</t>
  </si>
  <si>
    <t>TOTAL HABIT ✔</t>
  </si>
  <si>
    <t>AVG WEEKLY ✔</t>
  </si>
  <si>
    <t>TOTAL WORKOUTS</t>
  </si>
  <si>
    <t>INCOME</t>
  </si>
  <si>
    <t>EXPENSES</t>
  </si>
  <si>
    <t>NET SAVINGS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</si>
</sst>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 d, yyyy"/>
    <numFmt numFmtId="165" formatCode="mmm yyyy"/>
    <numFmt numFmtId="166" formatCode="mmmm yyyy"/>
    <numFmt numFmtId="167" formatCode="mmm d"/>
  </numFmts>
  <fonts count="37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22.0"/>
      <color rgb="FFEAF4FF"/>
      <name val="Calibri"/>
    </font>
    <font/>
    <font>
      <b/>
      <sz val="8.0"/>
      <color rgb="FF7A96B2"/>
      <name val="Calibri"/>
    </font>
    <font>
      <b/>
      <sz val="16.0"/>
      <color rgb="FF7BA7C8"/>
      <name val="Calibri"/>
    </font>
    <font>
      <sz val="8.0"/>
      <color rgb="FF7A96B2"/>
      <name val="Calibri"/>
    </font>
    <font>
      <b/>
      <sz val="10.0"/>
      <color rgb="FF7BA7C8"/>
      <name val="Calibri"/>
    </font>
    <font>
      <sz val="10.0"/>
      <color rgb="FFD6E4F0"/>
      <name val="Calibri"/>
    </font>
    <font>
      <sz val="11.0"/>
      <color rgb="FFEAF4FF"/>
      <name val="Calibri"/>
    </font>
    <font>
      <i/>
      <sz val="11.0"/>
      <color rgb="FF7A96B2"/>
      <name val="Calibri"/>
    </font>
    <font>
      <b/>
      <sz val="11.0"/>
      <color rgb="FFEAF4FF"/>
      <name val="Calibri"/>
    </font>
    <font>
      <b/>
      <sz val="16.0"/>
      <color rgb="FFEAF4FF"/>
      <name val="Calibri"/>
    </font>
    <font>
      <b/>
      <sz val="9.0"/>
      <color rgb="FF4A8C6E"/>
      <name val="Calibri"/>
    </font>
    <font>
      <b/>
      <sz val="9.0"/>
      <color rgb="FF8C4A4A"/>
      <name val="Calibri"/>
    </font>
    <font>
      <sz val="10.0"/>
      <color rgb="FF7BA7C8"/>
      <name val="Calibri"/>
    </font>
    <font>
      <b/>
      <sz val="10.0"/>
      <color rgb="FF7A96B2"/>
      <name val="Calibri"/>
    </font>
    <font>
      <b/>
      <sz val="12.0"/>
      <color rgb="FF7BA7C8"/>
      <name val="Calibri"/>
    </font>
    <font>
      <b/>
      <sz val="10.0"/>
      <color rgb="FF0F1923"/>
      <name val="Calibri"/>
    </font>
    <font>
      <b/>
      <sz val="12.0"/>
      <color rgb="FF0F1923"/>
      <name val="Calibri"/>
    </font>
    <font>
      <b/>
      <sz val="14.0"/>
      <color rgb="FF7BA7C8"/>
      <name val="Calibri"/>
    </font>
    <font>
      <b/>
      <sz val="14.0"/>
      <color rgb="FF8C4A4A"/>
      <name val="Calibri"/>
    </font>
    <font>
      <sz val="9.0"/>
      <color rgb="FF7A96B2"/>
      <name val="Calibri"/>
    </font>
    <font>
      <b/>
      <sz val="9.0"/>
      <color rgb="FF7BA7C8"/>
      <name val="Calibri"/>
    </font>
    <font>
      <i/>
      <sz val="8.0"/>
      <color rgb="FF4A6580"/>
      <name val="Arial"/>
    </font>
    <font>
      <b/>
      <sz val="8.0"/>
      <color rgb="FF7A96B2"/>
      <name val="Arial"/>
    </font>
    <font>
      <sz val="9.0"/>
      <color rgb="FFEAF4FF"/>
      <name val="Arial"/>
    </font>
    <font>
      <sz val="9.0"/>
      <color rgb="FF7BA7C8"/>
      <name val="Arial"/>
    </font>
    <font>
      <sz val="8.0"/>
      <color rgb="FF4A6580"/>
      <name val="Arial"/>
    </font>
    <font>
      <i/>
      <sz val="7.0"/>
      <color rgb="FF4A6580"/>
      <name val="Arial"/>
    </font>
    <font>
      <b/>
      <sz val="10.0"/>
      <color rgb="FFEAF4FF"/>
      <name val="Calibri"/>
    </font>
    <font>
      <b/>
      <sz val="8.0"/>
      <color rgb="FF4A6580"/>
      <name val="Arial"/>
    </font>
    <font>
      <sz val="10.0"/>
      <color rgb="FF7A96B2"/>
      <name val="Calibri"/>
    </font>
    <font>
      <sz val="11.0"/>
      <color rgb="FF7BA7C8"/>
      <name val="Calibri"/>
    </font>
    <font>
      <b/>
      <sz val="9.0"/>
      <color rgb="FF7BA7C8"/>
      <name val="Arial"/>
    </font>
    <font>
      <i/>
      <sz val="9.0"/>
      <color rgb="FF7A96B2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0F1923"/>
        <bgColor rgb="FF0F1923"/>
      </patternFill>
    </fill>
    <fill>
      <patternFill patternType="solid">
        <fgColor rgb="FF1A2535"/>
        <bgColor rgb="FF1A2535"/>
      </patternFill>
    </fill>
    <fill>
      <patternFill patternType="solid">
        <fgColor rgb="FF5B7FA6"/>
        <bgColor rgb="FF5B7FA6"/>
      </patternFill>
    </fill>
    <fill>
      <patternFill patternType="solid">
        <fgColor rgb="FF222F42"/>
        <bgColor rgb="FF222F42"/>
      </patternFill>
    </fill>
    <fill>
      <patternFill patternType="solid">
        <fgColor rgb="FF1E2D3E"/>
        <bgColor rgb="FF1E2D3E"/>
      </patternFill>
    </fill>
    <fill>
      <patternFill patternType="solid">
        <fgColor rgb="FF162030"/>
        <bgColor rgb="FF162030"/>
      </patternFill>
    </fill>
  </fills>
  <borders count="3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</border>
    <border>
      <left/>
      <right/>
      <top/>
      <bottom style="thin">
        <color rgb="FF5B7FA6"/>
      </bottom>
    </border>
    <border>
      <left/>
      <top/>
      <bottom style="thin">
        <color rgb="FF5B7FA6"/>
      </bottom>
    </border>
    <border>
      <right/>
      <top/>
      <bottom style="thin">
        <color rgb="FF5B7FA6"/>
      </bottom>
    </border>
    <border>
      <top/>
      <bottom style="thin">
        <color rgb="FF5B7FA6"/>
      </bottom>
    </border>
    <border>
      <left/>
      <right/>
      <bottom style="thin">
        <color rgb="FF2E3F58"/>
      </bottom>
    </border>
    <border>
      <left/>
      <bottom style="thin">
        <color rgb="FF2E3F58"/>
      </bottom>
    </border>
    <border>
      <right/>
      <bottom style="thin">
        <color rgb="FF2E3F58"/>
      </bottom>
    </border>
    <border>
      <right/>
    </border>
    <border>
      <left/>
      <right/>
      <top/>
      <bottom style="thin">
        <color rgb="FF2E3F58"/>
      </bottom>
    </border>
    <border>
      <right/>
      <top/>
      <bottom style="thin">
        <color rgb="FF2E3F58"/>
      </bottom>
    </border>
    <border>
      <bottom/>
    </border>
    <border>
      <right/>
      <bottom/>
    </border>
    <border>
      <left/>
      <bottom/>
    </border>
    <border>
      <left/>
      <right/>
      <bottom/>
    </border>
    <border>
      <left style="thin">
        <color rgb="FF2E3F58"/>
      </left>
      <top style="thin">
        <color rgb="FF2E3F58"/>
      </top>
    </border>
    <border>
      <top style="thin">
        <color rgb="FF2E3F58"/>
      </top>
    </border>
    <border>
      <right style="thin">
        <color rgb="FF2E3F58"/>
      </right>
      <top style="thin">
        <color rgb="FF2E3F58"/>
      </top>
    </border>
    <border>
      <left style="thin">
        <color rgb="FF2E3F58"/>
      </left>
      <bottom style="thin">
        <color rgb="FF2E3F58"/>
      </bottom>
    </border>
    <border>
      <bottom style="thin">
        <color rgb="FF2E3F58"/>
      </bottom>
    </border>
    <border>
      <right style="thin">
        <color rgb="FF2E3F58"/>
      </right>
      <bottom style="thin">
        <color rgb="FF2E3F58"/>
      </bottom>
    </border>
    <border>
      <left/>
      <top/>
    </border>
    <border>
      <right/>
      <top/>
    </border>
    <border>
      <top/>
    </border>
    <border>
      <left style="thin">
        <color rgb="FF5B7FA6"/>
      </left>
      <right style="thin">
        <color rgb="FF5B7FA6"/>
      </right>
      <top style="thin">
        <color rgb="FF5B7FA6"/>
      </top>
      <bottom style="thin">
        <color rgb="FF5B7FA6"/>
      </bottom>
    </border>
    <border>
      <left/>
    </border>
    <border>
      <left style="thin">
        <color rgb="FF243347"/>
      </left>
      <right style="thin">
        <color rgb="FF243347"/>
      </right>
      <top style="thin">
        <color rgb="FF243347"/>
      </top>
      <bottom style="thin">
        <color rgb="FF243347"/>
      </bottom>
    </border>
    <border>
      <left/>
      <top/>
      <bottom style="thin">
        <color rgb="FF2E3F58"/>
      </bottom>
    </border>
    <border>
      <top/>
      <bottom style="thin">
        <color rgb="FF2E3F58"/>
      </bottom>
    </border>
    <border>
      <top style="thin">
        <color rgb="FF5B7FA6"/>
      </top>
      <bottom style="thin">
        <color rgb="FF2E3F58"/>
      </bottom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2" fontId="2" numFmtId="0" xfId="0" applyFont="1"/>
    <xf borderId="2" fillId="3" fontId="3" numFmtId="0" xfId="0" applyAlignment="1" applyBorder="1" applyFill="1" applyFont="1">
      <alignment horizontal="left" vertical="center"/>
    </xf>
    <xf borderId="3" fillId="0" fontId="4" numFmtId="0" xfId="0" applyBorder="1" applyFont="1"/>
    <xf borderId="4" fillId="0" fontId="4" numFmtId="0" xfId="0" applyBorder="1" applyFont="1"/>
    <xf borderId="0" fillId="4" fontId="1" numFmtId="0" xfId="0" applyFill="1" applyFont="1"/>
    <xf borderId="2" fillId="3" fontId="5" numFmtId="0" xfId="0" applyAlignment="1" applyBorder="1" applyFont="1">
      <alignment horizontal="left" vertical="center"/>
    </xf>
    <xf borderId="2" fillId="3" fontId="6" numFmtId="0" xfId="0" applyAlignment="1" applyBorder="1" applyFont="1">
      <alignment horizontal="left" vertical="center"/>
    </xf>
    <xf borderId="2" fillId="3" fontId="7" numFmtId="0" xfId="0" applyAlignment="1" applyBorder="1" applyFont="1">
      <alignment horizontal="left" vertical="center"/>
    </xf>
    <xf borderId="5" fillId="2" fontId="1" numFmtId="0" xfId="0" applyBorder="1" applyFont="1"/>
    <xf borderId="6" fillId="5" fontId="5" numFmtId="0" xfId="0" applyAlignment="1" applyBorder="1" applyFill="1" applyFont="1">
      <alignment horizontal="center" vertical="center"/>
    </xf>
    <xf borderId="7" fillId="5" fontId="5" numFmtId="0" xfId="0" applyAlignment="1" applyBorder="1" applyFont="1">
      <alignment horizontal="center" vertical="center"/>
    </xf>
    <xf borderId="0" fillId="2" fontId="1" numFmtId="0" xfId="0" applyFont="1"/>
    <xf borderId="8" fillId="5" fontId="5" numFmtId="0" xfId="0" applyAlignment="1" applyBorder="1" applyFont="1">
      <alignment horizontal="center" vertical="center"/>
    </xf>
    <xf borderId="7" fillId="5" fontId="1" numFmtId="0" xfId="0" applyBorder="1" applyFont="1"/>
    <xf borderId="9" fillId="0" fontId="4" numFmtId="0" xfId="0" applyBorder="1" applyFont="1"/>
    <xf borderId="8" fillId="0" fontId="4" numFmtId="0" xfId="0" applyBorder="1" applyFont="1"/>
    <xf borderId="10" fillId="2" fontId="8" numFmtId="0" xfId="0" applyAlignment="1" applyBorder="1" applyFont="1">
      <alignment horizontal="center" vertical="center"/>
    </xf>
    <xf borderId="11" fillId="2" fontId="9" numFmtId="0" xfId="0" applyAlignment="1" applyBorder="1" applyFont="1">
      <alignment horizontal="left" vertical="center"/>
    </xf>
    <xf borderId="12" fillId="2" fontId="8" numFmtId="0" xfId="0" applyAlignment="1" applyBorder="1" applyFont="1">
      <alignment horizontal="center" vertical="center"/>
    </xf>
    <xf borderId="0" fillId="2" fontId="9" numFmtId="0" xfId="0" applyAlignment="1" applyFont="1">
      <alignment horizontal="left" vertical="center"/>
    </xf>
    <xf borderId="13" fillId="2" fontId="1" numFmtId="0" xfId="0" applyBorder="1" applyFont="1"/>
    <xf borderId="14" fillId="2" fontId="8" numFmtId="0" xfId="0" applyAlignment="1" applyBorder="1" applyFont="1">
      <alignment horizontal="center" vertical="center"/>
    </xf>
    <xf borderId="15" fillId="2" fontId="8" numFmtId="0" xfId="0" applyAlignment="1" applyBorder="1" applyFont="1">
      <alignment horizontal="center" vertical="center"/>
    </xf>
    <xf borderId="16" fillId="2" fontId="1" numFmtId="0" xfId="0" applyBorder="1" applyFont="1"/>
    <xf borderId="17" fillId="2" fontId="1" numFmtId="0" xfId="0" applyBorder="1" applyFont="1"/>
    <xf borderId="18" fillId="2" fontId="1" numFmtId="0" xfId="0" applyBorder="1" applyFont="1"/>
    <xf borderId="4" fillId="2" fontId="1" numFmtId="0" xfId="0" applyBorder="1" applyFont="1"/>
    <xf borderId="19" fillId="2" fontId="1" numFmtId="0" xfId="0" applyBorder="1" applyFont="1"/>
    <xf borderId="6" fillId="5" fontId="5" numFmtId="0" xfId="0" applyAlignment="1" applyBorder="1" applyFont="1">
      <alignment horizontal="left" vertical="center"/>
    </xf>
    <xf borderId="7" fillId="5" fontId="1" numFmtId="0" xfId="0" applyAlignment="1" applyBorder="1" applyFont="1">
      <alignment horizontal="left" vertical="center"/>
    </xf>
    <xf borderId="20" fillId="2" fontId="10" numFmtId="0" xfId="0" applyAlignment="1" applyBorder="1" applyFont="1">
      <alignment horizontal="left" shrinkToFit="0" vertical="center" wrapText="1"/>
    </xf>
    <xf borderId="21" fillId="0" fontId="4" numFmtId="0" xfId="0" applyBorder="1" applyFont="1"/>
    <xf borderId="22" fillId="0" fontId="4" numFmtId="0" xfId="0" applyBorder="1" applyFont="1"/>
    <xf borderId="20" fillId="2" fontId="11" numFmtId="0" xfId="0" applyAlignment="1" applyBorder="1" applyFont="1">
      <alignment horizontal="left" readingOrder="0" shrinkToFit="0" vertical="center" wrapText="1"/>
    </xf>
    <xf borderId="23" fillId="0" fontId="4" numFmtId="0" xfId="0" applyBorder="1" applyFont="1"/>
    <xf borderId="24" fillId="0" fontId="4" numFmtId="0" xfId="0" applyBorder="1" applyFont="1"/>
    <xf borderId="25" fillId="0" fontId="4" numFmtId="0" xfId="0" applyBorder="1" applyFont="1"/>
    <xf borderId="0" fillId="3" fontId="12" numFmtId="0" xfId="0" applyAlignment="1" applyFont="1">
      <alignment horizontal="left" vertical="center"/>
    </xf>
    <xf borderId="26" fillId="3" fontId="8" numFmtId="0" xfId="0" applyAlignment="1" applyBorder="1" applyFont="1">
      <alignment horizontal="left" vertical="center"/>
    </xf>
    <xf borderId="27" fillId="0" fontId="4" numFmtId="0" xfId="0" applyBorder="1" applyFont="1"/>
    <xf borderId="26" fillId="3" fontId="9" numFmtId="0" xfId="0" applyAlignment="1" applyBorder="1" applyFont="1">
      <alignment horizontal="left" shrinkToFit="0" vertical="center" wrapText="1"/>
    </xf>
    <xf borderId="28" fillId="0" fontId="4" numFmtId="0" xfId="0" applyBorder="1" applyFont="1"/>
    <xf borderId="18" fillId="0" fontId="4" numFmtId="0" xfId="0" applyBorder="1" applyFont="1"/>
    <xf borderId="17" fillId="0" fontId="4" numFmtId="0" xfId="0" applyBorder="1" applyFont="1"/>
    <xf borderId="16" fillId="0" fontId="4" numFmtId="0" xfId="0" applyBorder="1" applyFont="1"/>
    <xf borderId="2" fillId="3" fontId="13" numFmtId="0" xfId="0" applyAlignment="1" applyBorder="1" applyFont="1">
      <alignment horizontal="left" vertical="center"/>
    </xf>
    <xf borderId="14" fillId="2" fontId="9" numFmtId="0" xfId="0" applyAlignment="1" applyBorder="1" applyFont="1">
      <alignment horizontal="left" vertical="center"/>
    </xf>
    <xf borderId="14" fillId="2" fontId="14" numFmtId="0" xfId="0" applyAlignment="1" applyBorder="1" applyFont="1">
      <alignment horizontal="center" vertical="center"/>
    </xf>
    <xf borderId="14" fillId="2" fontId="10" numFmtId="0" xfId="0" applyAlignment="1" applyBorder="1" applyFont="1">
      <alignment horizontal="center" readingOrder="0" vertical="center"/>
    </xf>
    <xf borderId="14" fillId="3" fontId="8" numFmtId="0" xfId="0" applyAlignment="1" applyBorder="1" applyFont="1">
      <alignment horizontal="center" vertical="center"/>
    </xf>
    <xf borderId="14" fillId="2" fontId="1" numFmtId="0" xfId="0" applyAlignment="1" applyBorder="1" applyFont="1">
      <alignment horizontal="left" vertical="center"/>
    </xf>
    <xf borderId="14" fillId="2" fontId="9" numFmtId="0" xfId="0" applyAlignment="1" applyBorder="1" applyFont="1">
      <alignment horizontal="left" readingOrder="0" vertical="center"/>
    </xf>
    <xf borderId="14" fillId="2" fontId="15" numFmtId="0" xfId="0" applyAlignment="1" applyBorder="1" applyFont="1">
      <alignment horizontal="center" vertical="center"/>
    </xf>
    <xf borderId="14" fillId="3" fontId="16" numFmtId="0" xfId="0" applyAlignment="1" applyBorder="1" applyFont="1">
      <alignment horizontal="center" vertical="center"/>
    </xf>
    <xf borderId="14" fillId="2" fontId="1" numFmtId="0" xfId="0" applyAlignment="1" applyBorder="1" applyFont="1">
      <alignment horizontal="center" vertical="center"/>
    </xf>
    <xf borderId="14" fillId="2" fontId="10" numFmtId="0" xfId="0" applyAlignment="1" applyBorder="1" applyFont="1">
      <alignment horizontal="center" vertical="center"/>
    </xf>
    <xf borderId="5" fillId="2" fontId="1" numFmtId="0" xfId="0" applyAlignment="1" applyBorder="1" applyFont="1">
      <alignment horizontal="center" vertical="center"/>
    </xf>
    <xf borderId="5" fillId="2" fontId="10" numFmtId="0" xfId="0" applyAlignment="1" applyBorder="1" applyFont="1">
      <alignment horizontal="center" vertical="center"/>
    </xf>
    <xf borderId="5" fillId="3" fontId="16" numFmtId="0" xfId="0" applyAlignment="1" applyBorder="1" applyFont="1">
      <alignment horizontal="center" vertical="center"/>
    </xf>
    <xf borderId="26" fillId="5" fontId="17" numFmtId="0" xfId="0" applyAlignment="1" applyBorder="1" applyFont="1">
      <alignment horizontal="left" vertical="center"/>
    </xf>
    <xf borderId="28" fillId="5" fontId="17" numFmtId="0" xfId="0" applyAlignment="1" applyBorder="1" applyFont="1">
      <alignment horizontal="left" vertical="center"/>
    </xf>
    <xf borderId="29" fillId="5" fontId="18" numFmtId="0" xfId="0" applyAlignment="1" applyBorder="1" applyFont="1">
      <alignment horizontal="center" vertical="center"/>
    </xf>
    <xf borderId="30" fillId="5" fontId="17" numFmtId="0" xfId="0" applyAlignment="1" applyBorder="1" applyFont="1">
      <alignment horizontal="left" vertical="center"/>
    </xf>
    <xf borderId="0" fillId="5" fontId="17" numFmtId="0" xfId="0" applyAlignment="1" applyFont="1">
      <alignment horizontal="left" vertical="center"/>
    </xf>
    <xf borderId="18" fillId="2" fontId="19" numFmtId="0" xfId="0" applyAlignment="1" applyBorder="1" applyFont="1">
      <alignment horizontal="left" vertical="center"/>
    </xf>
    <xf borderId="16" fillId="2" fontId="19" numFmtId="0" xfId="0" applyAlignment="1" applyBorder="1" applyFont="1">
      <alignment horizontal="left" vertical="center"/>
    </xf>
    <xf borderId="0" fillId="2" fontId="20" numFmtId="0" xfId="0" applyAlignment="1" applyFont="1">
      <alignment horizontal="center" readingOrder="0" vertical="center"/>
    </xf>
    <xf borderId="2" fillId="2" fontId="1" numFmtId="0" xfId="0" applyBorder="1" applyFont="1"/>
    <xf borderId="4" fillId="2" fontId="13" numFmtId="0" xfId="0" applyAlignment="1" applyBorder="1" applyFont="1">
      <alignment horizontal="left" vertical="center"/>
    </xf>
    <xf borderId="1" fillId="3" fontId="5" numFmtId="0" xfId="0" applyAlignment="1" applyBorder="1" applyFont="1">
      <alignment horizontal="left" vertical="center"/>
    </xf>
    <xf borderId="1" fillId="3" fontId="21" numFmtId="4" xfId="0" applyAlignment="1" applyBorder="1" applyFont="1" applyNumberFormat="1">
      <alignment horizontal="left" vertical="center"/>
    </xf>
    <xf borderId="1" fillId="3" fontId="22" numFmtId="4" xfId="0" applyAlignment="1" applyBorder="1" applyFont="1" applyNumberFormat="1">
      <alignment horizontal="left" vertical="center"/>
    </xf>
    <xf borderId="6" fillId="5" fontId="5" numFmtId="0" xfId="0" applyAlignment="1" applyBorder="1" applyFont="1">
      <alignment horizontal="center" readingOrder="0" vertical="center"/>
    </xf>
    <xf borderId="14" fillId="2" fontId="23" numFmtId="164" xfId="0" applyAlignment="1" applyBorder="1" applyFont="1" applyNumberFormat="1">
      <alignment horizontal="center" readingOrder="0" vertical="center"/>
    </xf>
    <xf borderId="14" fillId="2" fontId="24" numFmtId="0" xfId="0" applyAlignment="1" applyBorder="1" applyFont="1">
      <alignment horizontal="center" vertical="center"/>
    </xf>
    <xf borderId="14" fillId="2" fontId="9" numFmtId="4" xfId="0" applyAlignment="1" applyBorder="1" applyFont="1" applyNumberFormat="1">
      <alignment horizontal="right" readingOrder="0" vertical="center"/>
    </xf>
    <xf borderId="14" fillId="2" fontId="16" numFmtId="4" xfId="0" applyAlignment="1" applyBorder="1" applyFont="1" applyNumberFormat="1">
      <alignment horizontal="right" vertical="center"/>
    </xf>
    <xf borderId="31" fillId="3" fontId="25" numFmtId="0" xfId="0" applyAlignment="1" applyBorder="1" applyFont="1">
      <alignment shrinkToFit="0" wrapText="1"/>
    </xf>
    <xf borderId="31" fillId="6" fontId="26" numFmtId="0" xfId="0" applyAlignment="1" applyBorder="1" applyFill="1" applyFont="1">
      <alignment horizontal="center" shrinkToFit="0" wrapText="1"/>
    </xf>
    <xf borderId="31" fillId="7" fontId="25" numFmtId="0" xfId="0" applyAlignment="1" applyBorder="1" applyFill="1" applyFont="1">
      <alignment shrinkToFit="0" wrapText="1"/>
    </xf>
    <xf borderId="31" fillId="3" fontId="27" numFmtId="0" xfId="0" applyAlignment="1" applyBorder="1" applyFont="1">
      <alignment shrinkToFit="0" wrapText="1"/>
    </xf>
    <xf borderId="31" fillId="3" fontId="28" numFmtId="0" xfId="0" applyAlignment="1" applyBorder="1" applyFont="1">
      <alignment horizontal="center" shrinkToFit="0" wrapText="1"/>
    </xf>
    <xf borderId="31" fillId="3" fontId="29" numFmtId="9" xfId="0" applyAlignment="1" applyBorder="1" applyFont="1" applyNumberFormat="1">
      <alignment horizontal="center" shrinkToFit="0" wrapText="1"/>
    </xf>
    <xf borderId="31" fillId="7" fontId="27" numFmtId="0" xfId="0" applyAlignment="1" applyBorder="1" applyFont="1">
      <alignment shrinkToFit="0" wrapText="1"/>
    </xf>
    <xf borderId="31" fillId="7" fontId="1" numFmtId="0" xfId="0" applyBorder="1" applyFont="1"/>
    <xf borderId="14" fillId="2" fontId="23" numFmtId="0" xfId="0" applyAlignment="1" applyBorder="1" applyFont="1">
      <alignment horizontal="center" vertical="center"/>
    </xf>
    <xf borderId="31" fillId="3" fontId="25" numFmtId="0" xfId="0" applyAlignment="1" applyBorder="1" applyFont="1">
      <alignment shrinkToFit="0" wrapText="1"/>
    </xf>
    <xf borderId="14" fillId="2" fontId="1" numFmtId="4" xfId="0" applyAlignment="1" applyBorder="1" applyFont="1" applyNumberFormat="1">
      <alignment horizontal="right" vertical="center"/>
    </xf>
    <xf borderId="31" fillId="3" fontId="27" numFmtId="0" xfId="0" applyAlignment="1" applyBorder="1" applyFont="1">
      <alignment shrinkToFit="0" wrapText="1"/>
    </xf>
    <xf borderId="31" fillId="7" fontId="27" numFmtId="0" xfId="0" applyAlignment="1" applyBorder="1" applyFont="1">
      <alignment shrinkToFit="0" wrapText="1"/>
    </xf>
    <xf borderId="2" fillId="2" fontId="30" numFmtId="0" xfId="0" applyAlignment="1" applyBorder="1" applyFont="1">
      <alignment shrinkToFit="0" wrapText="1"/>
    </xf>
    <xf borderId="1" fillId="2" fontId="1" numFmtId="0" xfId="0" applyAlignment="1" applyBorder="1" applyFont="1">
      <alignment vertical="bottom"/>
    </xf>
    <xf borderId="2" fillId="3" fontId="31" numFmtId="0" xfId="0" applyAlignment="1" applyBorder="1" applyFont="1">
      <alignment horizontal="left" vertical="center"/>
    </xf>
    <xf borderId="32" fillId="2" fontId="9" numFmtId="0" xfId="0" applyAlignment="1" applyBorder="1" applyFont="1">
      <alignment horizontal="left" vertical="center"/>
    </xf>
    <xf borderId="33" fillId="0" fontId="4" numFmtId="0" xfId="0" applyBorder="1" applyFont="1"/>
    <xf borderId="32" fillId="2" fontId="9" numFmtId="0" xfId="0" applyAlignment="1" applyBorder="1" applyFont="1">
      <alignment horizontal="left" readingOrder="0" vertical="center"/>
    </xf>
    <xf borderId="15" fillId="0" fontId="4" numFmtId="0" xfId="0" applyBorder="1" applyFont="1"/>
    <xf borderId="32" fillId="2" fontId="1" numFmtId="0" xfId="0" applyAlignment="1" applyBorder="1" applyFont="1">
      <alignment horizontal="left" vertical="center"/>
    </xf>
    <xf borderId="14" fillId="2" fontId="9" numFmtId="165" xfId="0" applyAlignment="1" applyBorder="1" applyFont="1" applyNumberFormat="1">
      <alignment horizontal="left" readingOrder="0" vertical="center"/>
    </xf>
    <xf borderId="14" fillId="2" fontId="9" numFmtId="166" xfId="0" applyAlignment="1" applyBorder="1" applyFont="1" applyNumberFormat="1">
      <alignment horizontal="left" readingOrder="0" vertical="center"/>
    </xf>
    <xf borderId="2" fillId="5" fontId="5" numFmtId="0" xfId="0" applyAlignment="1" applyBorder="1" applyFont="1">
      <alignment horizontal="center" vertical="center"/>
    </xf>
    <xf borderId="14" fillId="2" fontId="1" numFmtId="0" xfId="0" applyBorder="1" applyFont="1"/>
    <xf borderId="10" fillId="2" fontId="1" numFmtId="0" xfId="0" applyBorder="1" applyFont="1"/>
    <xf borderId="14" fillId="2" fontId="9" numFmtId="167" xfId="0" applyAlignment="1" applyBorder="1" applyFont="1" applyNumberFormat="1">
      <alignment horizontal="left" readingOrder="0" vertical="center"/>
    </xf>
    <xf borderId="10" fillId="2" fontId="1" numFmtId="0" xfId="0" applyAlignment="1" applyBorder="1" applyFont="1">
      <alignment horizontal="left" vertical="center"/>
    </xf>
    <xf borderId="3" fillId="3" fontId="13" numFmtId="0" xfId="0" applyAlignment="1" applyBorder="1" applyFont="1">
      <alignment horizontal="left" vertical="center"/>
    </xf>
    <xf borderId="2" fillId="3" fontId="12" numFmtId="0" xfId="0" applyAlignment="1" applyBorder="1" applyFont="1">
      <alignment horizontal="left" vertical="center"/>
    </xf>
    <xf borderId="3" fillId="3" fontId="12" numFmtId="0" xfId="0" applyAlignment="1" applyBorder="1" applyFont="1">
      <alignment horizontal="left" vertical="center"/>
    </xf>
    <xf borderId="5" fillId="5" fontId="5" numFmtId="0" xfId="0" applyAlignment="1" applyBorder="1" applyFont="1">
      <alignment horizontal="center" vertical="center"/>
    </xf>
    <xf borderId="31" fillId="6" fontId="32" numFmtId="0" xfId="0" applyAlignment="1" applyBorder="1" applyFont="1">
      <alignment horizontal="center" shrinkToFit="0" wrapText="1"/>
    </xf>
    <xf borderId="14" fillId="2" fontId="33" numFmtId="0" xfId="0" applyAlignment="1" applyBorder="1" applyFont="1">
      <alignment horizontal="center" vertical="center"/>
    </xf>
    <xf borderId="14" fillId="2" fontId="33" numFmtId="0" xfId="0" applyAlignment="1" applyBorder="1" applyFont="1">
      <alignment horizontal="center" readingOrder="0" vertical="center"/>
    </xf>
    <xf borderId="32" fillId="2" fontId="34" numFmtId="0" xfId="0" applyAlignment="1" applyBorder="1" applyFont="1">
      <alignment horizontal="center" readingOrder="0" vertical="center"/>
    </xf>
    <xf borderId="34" fillId="2" fontId="5" numFmtId="0" xfId="0" applyAlignment="1" applyBorder="1" applyFont="1">
      <alignment horizontal="center" readingOrder="0" vertical="center"/>
    </xf>
    <xf borderId="31" fillId="3" fontId="28" numFmtId="0" xfId="0" applyAlignment="1" applyBorder="1" applyFont="1">
      <alignment shrinkToFit="0" wrapText="1"/>
    </xf>
    <xf borderId="31" fillId="3" fontId="29" numFmtId="0" xfId="0" applyAlignment="1" applyBorder="1" applyFont="1">
      <alignment horizontal="center" shrinkToFit="0" wrapText="1"/>
    </xf>
    <xf borderId="31" fillId="3" fontId="29" numFmtId="0" xfId="0" applyAlignment="1" applyBorder="1" applyFont="1">
      <alignment horizontal="center" readingOrder="0" shrinkToFit="0" wrapText="1"/>
    </xf>
    <xf borderId="31" fillId="3" fontId="1" numFmtId="0" xfId="0" applyBorder="1" applyFont="1"/>
    <xf borderId="31" fillId="6" fontId="35" numFmtId="0" xfId="0" applyAlignment="1" applyBorder="1" applyFont="1">
      <alignment horizontal="center" shrinkToFit="0" wrapText="1"/>
    </xf>
    <xf borderId="14" fillId="2" fontId="34" numFmtId="0" xfId="0" applyAlignment="1" applyBorder="1" applyFont="1">
      <alignment horizontal="center" readingOrder="0" vertical="center"/>
    </xf>
    <xf borderId="31" fillId="7" fontId="28" numFmtId="0" xfId="0" applyAlignment="1" applyBorder="1" applyFont="1">
      <alignment shrinkToFit="0" wrapText="1"/>
    </xf>
    <xf borderId="31" fillId="7" fontId="29" numFmtId="0" xfId="0" applyAlignment="1" applyBorder="1" applyFont="1">
      <alignment horizontal="center" shrinkToFit="0" wrapText="1"/>
    </xf>
    <xf borderId="18" fillId="3" fontId="12" numFmtId="0" xfId="0" applyAlignment="1" applyBorder="1" applyFont="1">
      <alignment horizontal="left" vertical="center"/>
    </xf>
    <xf borderId="16" fillId="3" fontId="12" numFmtId="0" xfId="0" applyAlignment="1" applyBorder="1" applyFont="1">
      <alignment horizontal="left" vertical="center"/>
    </xf>
    <xf borderId="30" fillId="2" fontId="12" numFmtId="0" xfId="0" applyAlignment="1" applyBorder="1" applyFont="1">
      <alignment horizontal="left" vertical="center"/>
    </xf>
    <xf borderId="0" fillId="2" fontId="12" numFmtId="0" xfId="0" applyAlignment="1" applyFont="1">
      <alignment horizontal="left" vertical="center"/>
    </xf>
    <xf borderId="0" fillId="2" fontId="1" numFmtId="0" xfId="0" applyAlignment="1" applyFont="1">
      <alignment horizontal="center" vertical="center"/>
    </xf>
    <xf borderId="0" fillId="2" fontId="2" numFmtId="0" xfId="0" applyFont="1"/>
    <xf borderId="14" fillId="3" fontId="24" numFmtId="0" xfId="0" applyAlignment="1" applyBorder="1" applyFont="1">
      <alignment horizontal="center" vertical="center"/>
    </xf>
    <xf borderId="14" fillId="3" fontId="36" numFmtId="0" xfId="0" applyAlignment="1" applyBorder="1" applyFont="1">
      <alignment horizontal="center" vertical="center"/>
    </xf>
    <xf borderId="14" fillId="3" fontId="16" numFmtId="4" xfId="0" applyAlignment="1" applyBorder="1" applyFont="1" applyNumberFormat="1">
      <alignment horizontal="center" vertical="center"/>
    </xf>
    <xf borderId="32" fillId="3" fontId="36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2.0"/>
    <col customWidth="1" min="3" max="3" width="18.0"/>
    <col customWidth="1" min="4" max="4" width="3.0"/>
    <col customWidth="1" min="5" max="5" width="22.0"/>
    <col customWidth="1" min="6" max="6" width="18.0"/>
    <col customWidth="1" min="7" max="7" width="3.0"/>
    <col customWidth="1" min="8" max="10" width="18.0"/>
    <col customWidth="1" min="11" max="11" width="8.57"/>
    <col customWidth="1" min="12" max="26" width="8.71"/>
  </cols>
  <sheetData>
    <row r="1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  <c r="Z1" s="2"/>
    </row>
    <row r="2" ht="45.75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2"/>
      <c r="R2" s="2"/>
      <c r="S2" s="2"/>
      <c r="T2" s="2"/>
      <c r="U2" s="2"/>
      <c r="V2" s="2"/>
      <c r="W2" s="2"/>
      <c r="X2" s="2"/>
      <c r="Y2" s="2"/>
      <c r="Z2" s="2"/>
    </row>
    <row r="3" ht="9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2"/>
      <c r="R3" s="2"/>
      <c r="S3" s="2"/>
      <c r="T3" s="2"/>
      <c r="U3" s="2"/>
      <c r="V3" s="2"/>
      <c r="W3" s="2"/>
      <c r="X3" s="2"/>
      <c r="Y3" s="2"/>
      <c r="Z3" s="2"/>
    </row>
    <row r="4" ht="3.0" customHeight="1">
      <c r="A4" s="1"/>
      <c r="B4" s="6"/>
      <c r="C4" s="6"/>
      <c r="D4" s="6"/>
      <c r="E4" s="6"/>
      <c r="F4" s="6"/>
      <c r="G4" s="6"/>
      <c r="H4" s="6"/>
      <c r="I4" s="6"/>
      <c r="J4" s="6"/>
      <c r="K4" s="6"/>
      <c r="L4" s="1"/>
      <c r="M4" s="1"/>
      <c r="N4" s="1"/>
      <c r="O4" s="1"/>
      <c r="P4" s="1"/>
      <c r="Q4" s="2"/>
      <c r="R4" s="2"/>
      <c r="S4" s="2"/>
      <c r="T4" s="2"/>
      <c r="U4" s="2"/>
      <c r="V4" s="2"/>
      <c r="W4" s="2"/>
      <c r="X4" s="2"/>
      <c r="Y4" s="2"/>
      <c r="Z4" s="2"/>
    </row>
    <row r="5" ht="12.0" customHeight="1">
      <c r="A5" s="1"/>
      <c r="B5" s="7" t="s">
        <v>1</v>
      </c>
      <c r="C5" s="5"/>
      <c r="D5" s="1"/>
      <c r="E5" s="7" t="s">
        <v>2</v>
      </c>
      <c r="F5" s="5"/>
      <c r="G5" s="1"/>
      <c r="H5" s="7" t="s">
        <v>3</v>
      </c>
      <c r="I5" s="4"/>
      <c r="J5" s="4"/>
      <c r="K5" s="5"/>
      <c r="L5" s="1"/>
      <c r="M5" s="1"/>
      <c r="N5" s="1"/>
      <c r="O5" s="1"/>
      <c r="P5" s="1"/>
      <c r="Q5" s="2"/>
      <c r="R5" s="2"/>
      <c r="S5" s="2"/>
      <c r="T5" s="2"/>
      <c r="U5" s="2"/>
      <c r="V5" s="2"/>
      <c r="W5" s="2"/>
      <c r="X5" s="2"/>
      <c r="Y5" s="2"/>
      <c r="Z5" s="2"/>
    </row>
    <row r="6" ht="30.0" customHeight="1">
      <c r="A6" s="1"/>
      <c r="B6" s="8" t="str">
        <f>IF(ISNUMBER(Finances!E4),TEXT(Finances!E4,"#,##0.00"),"—")</f>
        <v>10,000.00</v>
      </c>
      <c r="C6" s="5"/>
      <c r="D6" s="1"/>
      <c r="E6" s="8">
        <f>IFERROR(COUNTIF(Habits!D5:J52,"✔"),"✖")</f>
        <v>31</v>
      </c>
      <c r="F6" s="5"/>
      <c r="G6" s="1"/>
      <c r="H6" s="8" t="str">
        <f t="array" ref="H6">IFERROR(SUMPRODUCT((MMULT((Habits!C3:I52="✔")*1,{1;1;1;1;1;1;1})&gt;0)*1)&amp;" habits tracked","—")</f>
        <v>5 habits tracked</v>
      </c>
      <c r="I6" s="4"/>
      <c r="J6" s="4"/>
      <c r="K6" s="5"/>
      <c r="L6" s="1"/>
      <c r="M6" s="1"/>
      <c r="N6" s="1"/>
      <c r="O6" s="1"/>
      <c r="P6" s="1"/>
      <c r="Q6" s="2"/>
      <c r="R6" s="2"/>
      <c r="S6" s="2"/>
      <c r="T6" s="2"/>
      <c r="U6" s="2"/>
      <c r="V6" s="2"/>
      <c r="W6" s="2"/>
      <c r="X6" s="2"/>
      <c r="Y6" s="2"/>
      <c r="Z6" s="2"/>
    </row>
    <row r="7" ht="21.75" customHeight="1">
      <c r="A7" s="1"/>
      <c r="B7" s="9" t="s">
        <v>4</v>
      </c>
      <c r="C7" s="5"/>
      <c r="D7" s="1"/>
      <c r="E7" s="9" t="s">
        <v>5</v>
      </c>
      <c r="F7" s="5"/>
      <c r="G7" s="1"/>
      <c r="H7" s="9" t="s">
        <v>6</v>
      </c>
      <c r="I7" s="4"/>
      <c r="J7" s="4"/>
      <c r="K7" s="5"/>
      <c r="L7" s="1"/>
      <c r="M7" s="1"/>
      <c r="N7" s="1"/>
      <c r="O7" s="1"/>
      <c r="P7" s="1"/>
      <c r="Q7" s="2"/>
      <c r="R7" s="2"/>
      <c r="S7" s="2"/>
      <c r="T7" s="2"/>
      <c r="U7" s="2"/>
      <c r="V7" s="2"/>
      <c r="W7" s="2"/>
      <c r="X7" s="2"/>
      <c r="Y7" s="2"/>
      <c r="Z7" s="2"/>
    </row>
    <row r="8" ht="12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2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1"/>
      <c r="B9" s="1"/>
      <c r="C9" s="1"/>
      <c r="D9" s="10"/>
      <c r="E9" s="1"/>
      <c r="F9" s="1"/>
      <c r="G9" s="10"/>
      <c r="H9" s="1"/>
      <c r="I9" s="1"/>
      <c r="J9" s="1"/>
      <c r="K9" s="1"/>
      <c r="L9" s="1"/>
      <c r="M9" s="1"/>
      <c r="N9" s="1"/>
      <c r="O9" s="1"/>
      <c r="P9" s="1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1"/>
      <c r="B10" s="11" t="s">
        <v>7</v>
      </c>
      <c r="C10" s="12" t="s">
        <v>8</v>
      </c>
      <c r="D10" s="13"/>
      <c r="E10" s="14" t="s">
        <v>7</v>
      </c>
      <c r="F10" s="12" t="s">
        <v>9</v>
      </c>
      <c r="G10" s="13"/>
      <c r="H10" s="15"/>
      <c r="I10" s="16"/>
      <c r="J10" s="17"/>
      <c r="K10" s="15"/>
      <c r="L10" s="1"/>
      <c r="M10" s="1"/>
      <c r="N10" s="1"/>
      <c r="O10" s="1"/>
      <c r="P10" s="1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1.75" customHeight="1">
      <c r="A11" s="1"/>
      <c r="B11" s="18">
        <v>1.0</v>
      </c>
      <c r="C11" s="19" t="str">
        <f t="array" ref="C11">IFERROR(INDEX(Habits!$B$5:$B$52,MATCH(1,IF(Habits!$C$5:$C$52="Good",IF(COUNTIF($A$10:A10,Habits!$B$5:$B$52)=0,IF(Habits!$K$5:$K$52=LARGE(IF(Habits!$C$5:$C$52="Good",Habits!$K$5:$K$52),1),1,0))),0)),"—")</f>
        <v>Read 30 Minutes</v>
      </c>
      <c r="D11" s="13"/>
      <c r="E11" s="20">
        <v>1.0</v>
      </c>
      <c r="F11" s="19" t="str">
        <f t="array" ref="F11">IFERROR(INDEX(Habits!$B$5:$B$52,MATCH(1,IF(Habits!$C$5:$C$52="Bad",IF(COUNTIF($F$10:F10,Habits!$B$5:$B$52)=0,IF(Habits!$K$5:$K$52=LARGE(IF(Habits!$C$5:$C$52="Bad",Habits!$K$5:$K$52),1),1,0))),0)),"—")</f>
        <v>Procrastinated</v>
      </c>
      <c r="G11" s="21"/>
      <c r="H11" s="15"/>
      <c r="I11" s="16"/>
      <c r="J11" s="17"/>
      <c r="K11" s="15"/>
      <c r="L11" s="13"/>
      <c r="M11" s="22"/>
      <c r="N11" s="1"/>
      <c r="O11" s="1"/>
      <c r="P11" s="1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1.75" customHeight="1">
      <c r="A12" s="1"/>
      <c r="B12" s="23">
        <v>2.0</v>
      </c>
      <c r="C12" s="19" t="str">
        <f t="array" ref="C12">IFERROR(INDEX(Habits!$B$5:$B$52,MATCH(1,IF(Habits!$C$5:$C$52="Good",IF(COUNTIF($C$11:C11,Habits!$B$5:$B$52)=0,IF(Habits!$K$5:$K$52&gt;=LARGE(IF(Habits!$C$5:$C$52="Good",Habits!$K$5:$K$52),2),1,0))),0)),"—")</f>
        <v>Hydrate</v>
      </c>
      <c r="D12" s="13"/>
      <c r="E12" s="24">
        <v>2.0</v>
      </c>
      <c r="F12" s="19" t="str">
        <f t="array" ref="F12">IFERROR(INDEX(Habits!$B$5:$B$52,MATCH(1,IF(Habits!$C$5:$C$52="Bad",IF(COUNTIF($F$11:F11,Habits!$B$5:$B$52)=0,IF(Habits!$K$5:$K$52&gt;=LARGE(IF(Habits!$C$5:$C$52="Bad",Habits!$K$5:$K$52),2),1,0))),0)),"—")</f>
        <v>Social Media Scroll</v>
      </c>
      <c r="G12" s="21"/>
      <c r="H12" s="15"/>
      <c r="I12" s="16"/>
      <c r="J12" s="17"/>
      <c r="K12" s="15"/>
      <c r="L12" s="13"/>
      <c r="M12" s="22"/>
      <c r="N12" s="1"/>
      <c r="O12" s="1"/>
      <c r="P12" s="1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1.75" customHeight="1">
      <c r="A13" s="1"/>
      <c r="B13" s="23">
        <v>3.0</v>
      </c>
      <c r="C13" s="19" t="str">
        <f t="array" ref="C13">IFERROR(INDEX(Habits!$B$5:$B$52,MATCH(1,IF(Habits!$C$5:$C$52="Good",IF(COUNTIF($C$11:C12,Habits!$B$5:$B$52)=0,IF(Habits!$K$5:$K$52&gt;=LARGE(IF(Habits!$C$5:$C$52="Good",Habits!$K$5:$K$52),3),1,0))),0)),"—")</f>
        <v>Clean room</v>
      </c>
      <c r="D13" s="13"/>
      <c r="E13" s="24">
        <v>3.0</v>
      </c>
      <c r="F13" s="19" t="str">
        <f t="array" ref="F13">IFERROR(INDEX(Habits!$B$5:$B$52,MATCH(1,IF(Habits!$C$5:$C$52="Bad",IF(COUNTIF($F$11:F12,Habits!$B$5:$B$52)=0,IF(Habits!$K$5:$K$52&gt;=LARGE(IF(Habits!$C$5:$C$52="Bad",Habits!$K$5:$K$52),3),1,0))),0)),"—")</f>
        <v>Slept Late</v>
      </c>
      <c r="G13" s="21"/>
      <c r="H13" s="15"/>
      <c r="I13" s="16"/>
      <c r="J13" s="17"/>
      <c r="K13" s="15"/>
      <c r="L13" s="25"/>
      <c r="M13" s="26"/>
      <c r="N13" s="1"/>
      <c r="O13" s="1"/>
      <c r="P13" s="1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>
      <c r="A14" s="1"/>
      <c r="B14" s="1"/>
      <c r="C14" s="27"/>
      <c r="D14" s="13"/>
      <c r="E14" s="28"/>
      <c r="F14" s="29"/>
      <c r="G14" s="29"/>
      <c r="H14" s="1"/>
      <c r="I14" s="1"/>
      <c r="J14" s="1"/>
      <c r="K14" s="1"/>
      <c r="L14" s="1"/>
      <c r="M14" s="1"/>
      <c r="N14" s="1"/>
      <c r="O14" s="1"/>
      <c r="P14" s="1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1"/>
      <c r="B15" s="30" t="s">
        <v>10</v>
      </c>
      <c r="C15" s="31"/>
      <c r="D15" s="16"/>
      <c r="E15" s="16"/>
      <c r="F15" s="16"/>
      <c r="G15" s="17"/>
      <c r="H15" s="30" t="s">
        <v>11</v>
      </c>
      <c r="I15" s="15"/>
      <c r="J15" s="16"/>
      <c r="K15" s="17"/>
      <c r="L15" s="1"/>
      <c r="M15" s="1"/>
      <c r="N15" s="1"/>
      <c r="O15" s="1"/>
      <c r="P15" s="1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1.75" customHeight="1">
      <c r="A16" s="1"/>
      <c r="B16" s="32" t="str">
        <f t="array" ref="B16">IFERROR("📖  "&amp;INDEX('Life System'!B$5:B$100,MATCH("Reading",'Life System'!D$5:D$100,0)),"No book currently reading")</f>
        <v>📖  The Psychology of Money</v>
      </c>
      <c r="C16" s="33"/>
      <c r="D16" s="33"/>
      <c r="E16" s="33"/>
      <c r="F16" s="33"/>
      <c r="G16" s="34"/>
      <c r="H16" s="35" t="s">
        <v>12</v>
      </c>
      <c r="I16" s="33"/>
      <c r="J16" s="33"/>
      <c r="K16" s="34"/>
      <c r="L16" s="1"/>
      <c r="M16" s="1"/>
      <c r="N16" s="1"/>
      <c r="O16" s="1"/>
      <c r="P16" s="1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1.75" customHeight="1">
      <c r="A17" s="1"/>
      <c r="B17" s="36"/>
      <c r="C17" s="37"/>
      <c r="D17" s="37"/>
      <c r="E17" s="37"/>
      <c r="F17" s="37"/>
      <c r="G17" s="38"/>
      <c r="H17" s="36"/>
      <c r="I17" s="37"/>
      <c r="J17" s="37"/>
      <c r="K17" s="38"/>
      <c r="L17" s="1"/>
      <c r="M17" s="1"/>
      <c r="N17" s="1"/>
      <c r="O17" s="1"/>
      <c r="P17" s="1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0.0" customHeight="1">
      <c r="A20" s="1"/>
      <c r="B20" s="39" t="s">
        <v>13</v>
      </c>
      <c r="L20" s="1"/>
      <c r="M20" s="1"/>
      <c r="N20" s="1"/>
      <c r="O20" s="1"/>
      <c r="P20" s="1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9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9.5" customHeight="1">
      <c r="A22" s="1"/>
      <c r="B22" s="40" t="s">
        <v>14</v>
      </c>
      <c r="C22" s="41"/>
      <c r="D22" s="42" t="s">
        <v>15</v>
      </c>
      <c r="E22" s="43"/>
      <c r="F22" s="43"/>
      <c r="G22" s="43"/>
      <c r="H22" s="43"/>
      <c r="I22" s="43"/>
      <c r="J22" s="43"/>
      <c r="K22" s="41"/>
      <c r="L22" s="1"/>
      <c r="M22" s="1"/>
      <c r="N22" s="1"/>
      <c r="O22" s="1"/>
      <c r="P22" s="1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9.5" customHeight="1">
      <c r="A23" s="1"/>
      <c r="B23" s="44"/>
      <c r="C23" s="45"/>
      <c r="D23" s="44"/>
      <c r="E23" s="46"/>
      <c r="F23" s="46"/>
      <c r="G23" s="46"/>
      <c r="H23" s="46"/>
      <c r="I23" s="46"/>
      <c r="J23" s="46"/>
      <c r="K23" s="45"/>
      <c r="L23" s="1"/>
      <c r="M23" s="1"/>
      <c r="N23" s="1"/>
      <c r="O23" s="1"/>
      <c r="P23" s="1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9.5" customHeight="1">
      <c r="A24" s="1"/>
      <c r="B24" s="40" t="s">
        <v>16</v>
      </c>
      <c r="C24" s="41"/>
      <c r="D24" s="42" t="s">
        <v>17</v>
      </c>
      <c r="E24" s="43"/>
      <c r="F24" s="43"/>
      <c r="G24" s="43"/>
      <c r="H24" s="43"/>
      <c r="I24" s="43"/>
      <c r="J24" s="43"/>
      <c r="K24" s="41"/>
      <c r="L24" s="1"/>
      <c r="M24" s="1"/>
      <c r="N24" s="1"/>
      <c r="O24" s="1"/>
      <c r="P24" s="1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9.5" customHeight="1">
      <c r="A25" s="1"/>
      <c r="B25" s="44"/>
      <c r="C25" s="45"/>
      <c r="D25" s="44"/>
      <c r="E25" s="46"/>
      <c r="F25" s="46"/>
      <c r="G25" s="46"/>
      <c r="H25" s="46"/>
      <c r="I25" s="46"/>
      <c r="J25" s="46"/>
      <c r="K25" s="45"/>
      <c r="L25" s="1"/>
      <c r="M25" s="1"/>
      <c r="N25" s="1"/>
      <c r="O25" s="1"/>
      <c r="P25" s="1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9.5" customHeight="1">
      <c r="A26" s="1"/>
      <c r="B26" s="40" t="s">
        <v>18</v>
      </c>
      <c r="C26" s="41"/>
      <c r="D26" s="42" t="s">
        <v>19</v>
      </c>
      <c r="E26" s="43"/>
      <c r="F26" s="43"/>
      <c r="G26" s="43"/>
      <c r="H26" s="43"/>
      <c r="I26" s="43"/>
      <c r="J26" s="43"/>
      <c r="K26" s="41"/>
      <c r="L26" s="1"/>
      <c r="M26" s="1"/>
      <c r="N26" s="1"/>
      <c r="O26" s="1"/>
      <c r="P26" s="1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9.5" customHeight="1">
      <c r="A27" s="1"/>
      <c r="B27" s="44"/>
      <c r="C27" s="45"/>
      <c r="D27" s="44"/>
      <c r="E27" s="46"/>
      <c r="F27" s="46"/>
      <c r="G27" s="46"/>
      <c r="H27" s="46"/>
      <c r="I27" s="46"/>
      <c r="J27" s="46"/>
      <c r="K27" s="45"/>
      <c r="L27" s="1"/>
      <c r="M27" s="1"/>
      <c r="N27" s="1"/>
      <c r="O27" s="1"/>
      <c r="P27" s="1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9.5" customHeight="1">
      <c r="A28" s="1"/>
      <c r="B28" s="40" t="s">
        <v>20</v>
      </c>
      <c r="C28" s="41"/>
      <c r="D28" s="42" t="s">
        <v>21</v>
      </c>
      <c r="E28" s="43"/>
      <c r="F28" s="43"/>
      <c r="G28" s="43"/>
      <c r="H28" s="43"/>
      <c r="I28" s="43"/>
      <c r="J28" s="43"/>
      <c r="K28" s="41"/>
      <c r="L28" s="1"/>
      <c r="M28" s="1"/>
      <c r="N28" s="1"/>
      <c r="O28" s="1"/>
      <c r="P28" s="1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9.5" customHeight="1">
      <c r="A29" s="1"/>
      <c r="B29" s="44"/>
      <c r="C29" s="45"/>
      <c r="D29" s="44"/>
      <c r="E29" s="46"/>
      <c r="F29" s="46"/>
      <c r="G29" s="46"/>
      <c r="H29" s="46"/>
      <c r="I29" s="46"/>
      <c r="J29" s="46"/>
      <c r="K29" s="45"/>
      <c r="L29" s="1"/>
      <c r="M29" s="1"/>
      <c r="N29" s="1"/>
      <c r="O29" s="1"/>
      <c r="P29" s="1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9.5" customHeight="1">
      <c r="A30" s="1"/>
      <c r="B30" s="40" t="s">
        <v>22</v>
      </c>
      <c r="C30" s="41"/>
      <c r="D30" s="42" t="s">
        <v>23</v>
      </c>
      <c r="E30" s="43"/>
      <c r="F30" s="43"/>
      <c r="G30" s="43"/>
      <c r="H30" s="43"/>
      <c r="I30" s="43"/>
      <c r="J30" s="43"/>
      <c r="K30" s="41"/>
      <c r="L30" s="1"/>
      <c r="M30" s="1"/>
      <c r="N30" s="1"/>
      <c r="O30" s="1"/>
      <c r="P30" s="1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9.5" customHeight="1">
      <c r="A31" s="1"/>
      <c r="B31" s="44"/>
      <c r="C31" s="45"/>
      <c r="D31" s="44"/>
      <c r="E31" s="46"/>
      <c r="F31" s="46"/>
      <c r="G31" s="46"/>
      <c r="H31" s="46"/>
      <c r="I31" s="46"/>
      <c r="J31" s="46"/>
      <c r="K31" s="45"/>
      <c r="L31" s="1"/>
      <c r="M31" s="1"/>
      <c r="N31" s="1"/>
      <c r="O31" s="1"/>
      <c r="P31" s="1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9">
    <mergeCell ref="B2:K2"/>
    <mergeCell ref="B5:C5"/>
    <mergeCell ref="E5:F5"/>
    <mergeCell ref="H5:K5"/>
    <mergeCell ref="B6:C6"/>
    <mergeCell ref="H6:K6"/>
    <mergeCell ref="B7:C7"/>
    <mergeCell ref="H7:K7"/>
    <mergeCell ref="B28:C29"/>
    <mergeCell ref="B30:C31"/>
    <mergeCell ref="B22:C23"/>
    <mergeCell ref="D22:K23"/>
    <mergeCell ref="B24:C25"/>
    <mergeCell ref="D24:K25"/>
    <mergeCell ref="B26:C27"/>
    <mergeCell ref="D26:K27"/>
    <mergeCell ref="D28:K29"/>
    <mergeCell ref="D30:K31"/>
    <mergeCell ref="I15:K15"/>
    <mergeCell ref="H11:J11"/>
    <mergeCell ref="H12:J12"/>
    <mergeCell ref="E6:F6"/>
    <mergeCell ref="E7:F7"/>
    <mergeCell ref="C15:G15"/>
    <mergeCell ref="B16:G17"/>
    <mergeCell ref="H16:K17"/>
    <mergeCell ref="B20:K20"/>
    <mergeCell ref="H10:J10"/>
    <mergeCell ref="H13:J1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8.0"/>
    <col customWidth="1" min="3" max="3" width="9.0"/>
    <col customWidth="1" min="4" max="10" width="8.0"/>
    <col customWidth="1" min="11" max="11" width="12.0"/>
    <col customWidth="1" min="12" max="12" width="39.57"/>
    <col customWidth="1" min="13" max="26" width="8.71"/>
  </cols>
  <sheetData>
    <row r="1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9.75" customHeight="1">
      <c r="A2" s="1"/>
      <c r="B2" s="47" t="s">
        <v>24</v>
      </c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9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0" customHeight="1">
      <c r="A4" s="1"/>
      <c r="B4" s="11" t="s">
        <v>25</v>
      </c>
      <c r="C4" s="11" t="s">
        <v>26</v>
      </c>
      <c r="D4" s="11" t="s">
        <v>27</v>
      </c>
      <c r="E4" s="11" t="s">
        <v>28</v>
      </c>
      <c r="F4" s="11" t="s">
        <v>29</v>
      </c>
      <c r="G4" s="11" t="s">
        <v>30</v>
      </c>
      <c r="H4" s="11" t="s">
        <v>31</v>
      </c>
      <c r="I4" s="11" t="s">
        <v>32</v>
      </c>
      <c r="J4" s="11" t="s">
        <v>33</v>
      </c>
      <c r="K4" s="11" t="s">
        <v>34</v>
      </c>
      <c r="L4" s="11" t="s">
        <v>35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0" customHeight="1">
      <c r="A5" s="1"/>
      <c r="B5" s="48" t="s">
        <v>36</v>
      </c>
      <c r="C5" s="49" t="s">
        <v>37</v>
      </c>
      <c r="D5" s="50" t="s">
        <v>38</v>
      </c>
      <c r="E5" s="50"/>
      <c r="F5" s="50"/>
      <c r="G5" s="50" t="s">
        <v>38</v>
      </c>
      <c r="H5" s="50" t="s">
        <v>38</v>
      </c>
      <c r="I5" s="50" t="s">
        <v>38</v>
      </c>
      <c r="J5" s="50"/>
      <c r="K5" s="51">
        <f t="shared" ref="K5:K15" si="1">IF(C5="Bad",COUNTIF(D5:J5,"✖"),COUNTIF(D5:J5,"✔"))</f>
        <v>4</v>
      </c>
      <c r="L5" s="52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1"/>
      <c r="B6" s="48" t="s">
        <v>39</v>
      </c>
      <c r="C6" s="49" t="s">
        <v>37</v>
      </c>
      <c r="D6" s="50" t="s">
        <v>38</v>
      </c>
      <c r="E6" s="50" t="s">
        <v>38</v>
      </c>
      <c r="F6" s="50" t="s">
        <v>38</v>
      </c>
      <c r="G6" s="50" t="s">
        <v>38</v>
      </c>
      <c r="H6" s="50" t="s">
        <v>38</v>
      </c>
      <c r="I6" s="50" t="s">
        <v>38</v>
      </c>
      <c r="J6" s="50" t="s">
        <v>38</v>
      </c>
      <c r="K6" s="51">
        <f t="shared" si="1"/>
        <v>7</v>
      </c>
      <c r="L6" s="52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1"/>
      <c r="B7" s="48" t="s">
        <v>40</v>
      </c>
      <c r="C7" s="49" t="s">
        <v>37</v>
      </c>
      <c r="D7" s="50"/>
      <c r="E7" s="50"/>
      <c r="F7" s="50"/>
      <c r="G7" s="50"/>
      <c r="H7" s="50"/>
      <c r="I7" s="50"/>
      <c r="J7" s="50"/>
      <c r="K7" s="51">
        <f t="shared" si="1"/>
        <v>0</v>
      </c>
      <c r="L7" s="52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0" customHeight="1">
      <c r="A8" s="1"/>
      <c r="B8" s="53" t="s">
        <v>41</v>
      </c>
      <c r="C8" s="49" t="s">
        <v>37</v>
      </c>
      <c r="D8" s="50" t="s">
        <v>38</v>
      </c>
      <c r="E8" s="50" t="s">
        <v>38</v>
      </c>
      <c r="F8" s="50" t="s">
        <v>38</v>
      </c>
      <c r="G8" s="50" t="s">
        <v>38</v>
      </c>
      <c r="H8" s="50" t="s">
        <v>38</v>
      </c>
      <c r="I8" s="50" t="s">
        <v>38</v>
      </c>
      <c r="J8" s="50" t="s">
        <v>38</v>
      </c>
      <c r="K8" s="51">
        <f t="shared" si="1"/>
        <v>7</v>
      </c>
      <c r="L8" s="53" t="s">
        <v>42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4.0" customHeight="1">
      <c r="A9" s="1"/>
      <c r="B9" s="48" t="s">
        <v>43</v>
      </c>
      <c r="C9" s="49" t="s">
        <v>37</v>
      </c>
      <c r="D9" s="50" t="s">
        <v>38</v>
      </c>
      <c r="E9" s="50"/>
      <c r="F9" s="50" t="s">
        <v>38</v>
      </c>
      <c r="G9" s="50" t="s">
        <v>38</v>
      </c>
      <c r="H9" s="50" t="s">
        <v>38</v>
      </c>
      <c r="I9" s="50" t="s">
        <v>38</v>
      </c>
      <c r="J9" s="50" t="s">
        <v>38</v>
      </c>
      <c r="K9" s="51">
        <f t="shared" si="1"/>
        <v>6</v>
      </c>
      <c r="L9" s="5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4.0" customHeight="1">
      <c r="A10" s="1"/>
      <c r="B10" s="48" t="s">
        <v>44</v>
      </c>
      <c r="C10" s="54" t="s">
        <v>45</v>
      </c>
      <c r="D10" s="50" t="s">
        <v>46</v>
      </c>
      <c r="E10" s="50" t="s">
        <v>46</v>
      </c>
      <c r="F10" s="50"/>
      <c r="G10" s="50"/>
      <c r="H10" s="50"/>
      <c r="I10" s="50"/>
      <c r="J10" s="50"/>
      <c r="K10" s="51">
        <f t="shared" si="1"/>
        <v>2</v>
      </c>
      <c r="L10" s="53" t="s">
        <v>47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0" customHeight="1">
      <c r="A11" s="1"/>
      <c r="B11" s="48" t="s">
        <v>48</v>
      </c>
      <c r="C11" s="54" t="s">
        <v>45</v>
      </c>
      <c r="D11" s="50"/>
      <c r="E11" s="50"/>
      <c r="F11" s="50"/>
      <c r="G11" s="50"/>
      <c r="H11" s="50" t="s">
        <v>46</v>
      </c>
      <c r="I11" s="50"/>
      <c r="J11" s="50"/>
      <c r="K11" s="51">
        <f t="shared" si="1"/>
        <v>1</v>
      </c>
      <c r="L11" s="5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0" customHeight="1">
      <c r="A12" s="1"/>
      <c r="B12" s="48" t="s">
        <v>49</v>
      </c>
      <c r="C12" s="54" t="s">
        <v>45</v>
      </c>
      <c r="D12" s="50" t="s">
        <v>46</v>
      </c>
      <c r="E12" s="50"/>
      <c r="F12" s="50"/>
      <c r="G12" s="50"/>
      <c r="H12" s="50"/>
      <c r="I12" s="50"/>
      <c r="J12" s="50"/>
      <c r="K12" s="51">
        <f t="shared" si="1"/>
        <v>1</v>
      </c>
      <c r="L12" s="5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0" customHeight="1">
      <c r="A13" s="1"/>
      <c r="B13" s="48" t="s">
        <v>50</v>
      </c>
      <c r="C13" s="54" t="s">
        <v>45</v>
      </c>
      <c r="D13" s="50" t="s">
        <v>46</v>
      </c>
      <c r="E13" s="50" t="s">
        <v>46</v>
      </c>
      <c r="F13" s="50" t="s">
        <v>46</v>
      </c>
      <c r="G13" s="50"/>
      <c r="H13" s="50"/>
      <c r="I13" s="50"/>
      <c r="J13" s="50"/>
      <c r="K13" s="51">
        <f t="shared" si="1"/>
        <v>3</v>
      </c>
      <c r="L13" s="52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0" customHeight="1">
      <c r="A14" s="1"/>
      <c r="B14" s="48" t="s">
        <v>51</v>
      </c>
      <c r="C14" s="54" t="s">
        <v>45</v>
      </c>
      <c r="D14" s="50" t="s">
        <v>46</v>
      </c>
      <c r="E14" s="50" t="s">
        <v>46</v>
      </c>
      <c r="F14" s="50"/>
      <c r="G14" s="50"/>
      <c r="H14" s="50"/>
      <c r="I14" s="50"/>
      <c r="J14" s="50"/>
      <c r="K14" s="51">
        <f t="shared" si="1"/>
        <v>2</v>
      </c>
      <c r="L14" s="52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0" customHeight="1">
      <c r="A15" s="1"/>
      <c r="B15" s="53" t="s">
        <v>52</v>
      </c>
      <c r="C15" s="54" t="s">
        <v>45</v>
      </c>
      <c r="D15" s="50" t="s">
        <v>46</v>
      </c>
      <c r="E15" s="50" t="s">
        <v>46</v>
      </c>
      <c r="F15" s="50"/>
      <c r="G15" s="50"/>
      <c r="H15" s="50"/>
      <c r="I15" s="50"/>
      <c r="J15" s="50"/>
      <c r="K15" s="51">
        <f t="shared" si="1"/>
        <v>2</v>
      </c>
      <c r="L15" s="5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0" customHeight="1">
      <c r="A16" s="1"/>
      <c r="B16" s="53" t="s">
        <v>53</v>
      </c>
      <c r="C16" s="49" t="s">
        <v>37</v>
      </c>
      <c r="D16" s="50" t="s">
        <v>38</v>
      </c>
      <c r="E16" s="50" t="s">
        <v>38</v>
      </c>
      <c r="F16" s="50" t="s">
        <v>38</v>
      </c>
      <c r="G16" s="50" t="s">
        <v>38</v>
      </c>
      <c r="H16" s="50" t="s">
        <v>38</v>
      </c>
      <c r="I16" s="50" t="s">
        <v>38</v>
      </c>
      <c r="J16" s="50" t="s">
        <v>38</v>
      </c>
      <c r="K16" s="55">
        <f t="shared" ref="K16:K52" si="2">IFERROR(IF(COUNTIF(D16:J16,"✔")=0,"",COUNTIF(D16:J16,"✔")),"—")</f>
        <v>7</v>
      </c>
      <c r="L16" s="5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0" customHeight="1">
      <c r="A17" s="1"/>
      <c r="B17" s="56"/>
      <c r="C17" s="56"/>
      <c r="D17" s="57"/>
      <c r="E17" s="57"/>
      <c r="F17" s="57"/>
      <c r="G17" s="57"/>
      <c r="H17" s="57"/>
      <c r="I17" s="57"/>
      <c r="J17" s="57"/>
      <c r="K17" s="55" t="str">
        <f t="shared" si="2"/>
        <v/>
      </c>
      <c r="L17" s="5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0" customHeight="1">
      <c r="A18" s="1"/>
      <c r="B18" s="56"/>
      <c r="C18" s="56"/>
      <c r="D18" s="57"/>
      <c r="E18" s="57"/>
      <c r="F18" s="57"/>
      <c r="G18" s="57"/>
      <c r="H18" s="57"/>
      <c r="I18" s="57"/>
      <c r="J18" s="57"/>
      <c r="K18" s="55" t="str">
        <f t="shared" si="2"/>
        <v/>
      </c>
      <c r="L18" s="5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0" customHeight="1">
      <c r="A19" s="1"/>
      <c r="B19" s="56"/>
      <c r="C19" s="56"/>
      <c r="D19" s="57"/>
      <c r="E19" s="57"/>
      <c r="F19" s="57"/>
      <c r="G19" s="57"/>
      <c r="H19" s="57"/>
      <c r="I19" s="57"/>
      <c r="J19" s="57"/>
      <c r="K19" s="55" t="str">
        <f t="shared" si="2"/>
        <v/>
      </c>
      <c r="L19" s="5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0" customHeight="1">
      <c r="A20" s="1"/>
      <c r="B20" s="56"/>
      <c r="C20" s="56"/>
      <c r="D20" s="57"/>
      <c r="E20" s="57"/>
      <c r="F20" s="57"/>
      <c r="G20" s="57"/>
      <c r="H20" s="57"/>
      <c r="I20" s="57"/>
      <c r="J20" s="57"/>
      <c r="K20" s="55" t="str">
        <f t="shared" si="2"/>
        <v/>
      </c>
      <c r="L20" s="5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0" customHeight="1">
      <c r="A21" s="1"/>
      <c r="B21" s="56"/>
      <c r="C21" s="56"/>
      <c r="D21" s="57"/>
      <c r="E21" s="57"/>
      <c r="F21" s="57"/>
      <c r="G21" s="57"/>
      <c r="H21" s="57"/>
      <c r="I21" s="57"/>
      <c r="J21" s="57"/>
      <c r="K21" s="55" t="str">
        <f t="shared" si="2"/>
        <v/>
      </c>
      <c r="L21" s="5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0" customHeight="1">
      <c r="A22" s="1"/>
      <c r="B22" s="56"/>
      <c r="C22" s="56"/>
      <c r="D22" s="57"/>
      <c r="E22" s="57"/>
      <c r="F22" s="57"/>
      <c r="G22" s="57"/>
      <c r="H22" s="57"/>
      <c r="I22" s="57"/>
      <c r="J22" s="57"/>
      <c r="K22" s="55" t="str">
        <f t="shared" si="2"/>
        <v/>
      </c>
      <c r="L22" s="5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0" customHeight="1">
      <c r="A23" s="1"/>
      <c r="B23" s="56"/>
      <c r="C23" s="56"/>
      <c r="D23" s="57"/>
      <c r="E23" s="57"/>
      <c r="F23" s="57"/>
      <c r="G23" s="57"/>
      <c r="H23" s="57"/>
      <c r="I23" s="57"/>
      <c r="J23" s="57"/>
      <c r="K23" s="55" t="str">
        <f t="shared" si="2"/>
        <v/>
      </c>
      <c r="L23" s="5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0" customHeight="1">
      <c r="A24" s="1"/>
      <c r="B24" s="56"/>
      <c r="C24" s="56"/>
      <c r="D24" s="57"/>
      <c r="E24" s="57"/>
      <c r="F24" s="57"/>
      <c r="G24" s="57"/>
      <c r="H24" s="57"/>
      <c r="I24" s="57"/>
      <c r="J24" s="57"/>
      <c r="K24" s="55" t="str">
        <f t="shared" si="2"/>
        <v/>
      </c>
      <c r="L24" s="5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0" customHeight="1">
      <c r="A25" s="1"/>
      <c r="B25" s="56"/>
      <c r="C25" s="56"/>
      <c r="D25" s="57"/>
      <c r="E25" s="57"/>
      <c r="F25" s="57"/>
      <c r="G25" s="57"/>
      <c r="H25" s="57"/>
      <c r="I25" s="57"/>
      <c r="J25" s="57"/>
      <c r="K25" s="55" t="str">
        <f t="shared" si="2"/>
        <v/>
      </c>
      <c r="L25" s="5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0" customHeight="1">
      <c r="A26" s="1"/>
      <c r="B26" s="56"/>
      <c r="C26" s="56"/>
      <c r="D26" s="57"/>
      <c r="E26" s="57"/>
      <c r="F26" s="57"/>
      <c r="G26" s="57"/>
      <c r="H26" s="57"/>
      <c r="I26" s="57"/>
      <c r="J26" s="57"/>
      <c r="K26" s="55" t="str">
        <f t="shared" si="2"/>
        <v/>
      </c>
      <c r="L26" s="5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0" customHeight="1">
      <c r="A27" s="1"/>
      <c r="B27" s="56"/>
      <c r="C27" s="56"/>
      <c r="D27" s="57"/>
      <c r="E27" s="57"/>
      <c r="F27" s="57"/>
      <c r="G27" s="57"/>
      <c r="H27" s="57"/>
      <c r="I27" s="57"/>
      <c r="J27" s="57"/>
      <c r="K27" s="55" t="str">
        <f t="shared" si="2"/>
        <v/>
      </c>
      <c r="L27" s="5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0" customHeight="1">
      <c r="A28" s="1"/>
      <c r="B28" s="56"/>
      <c r="C28" s="56"/>
      <c r="D28" s="57"/>
      <c r="E28" s="57"/>
      <c r="F28" s="57"/>
      <c r="G28" s="57"/>
      <c r="H28" s="57"/>
      <c r="I28" s="57"/>
      <c r="J28" s="57"/>
      <c r="K28" s="55" t="str">
        <f t="shared" si="2"/>
        <v/>
      </c>
      <c r="L28" s="5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0" customHeight="1">
      <c r="A29" s="1"/>
      <c r="B29" s="56"/>
      <c r="C29" s="56"/>
      <c r="D29" s="57"/>
      <c r="E29" s="57"/>
      <c r="F29" s="57"/>
      <c r="G29" s="57"/>
      <c r="H29" s="57"/>
      <c r="I29" s="57"/>
      <c r="J29" s="57"/>
      <c r="K29" s="55" t="str">
        <f t="shared" si="2"/>
        <v/>
      </c>
      <c r="L29" s="5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0" customHeight="1">
      <c r="A30" s="1"/>
      <c r="B30" s="56"/>
      <c r="C30" s="56"/>
      <c r="D30" s="57"/>
      <c r="E30" s="57"/>
      <c r="F30" s="57"/>
      <c r="G30" s="57"/>
      <c r="H30" s="57"/>
      <c r="I30" s="57"/>
      <c r="J30" s="57"/>
      <c r="K30" s="55" t="str">
        <f t="shared" si="2"/>
        <v/>
      </c>
      <c r="L30" s="5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0" customHeight="1">
      <c r="A31" s="1"/>
      <c r="B31" s="56"/>
      <c r="C31" s="56"/>
      <c r="D31" s="57"/>
      <c r="E31" s="57"/>
      <c r="F31" s="57"/>
      <c r="G31" s="57"/>
      <c r="H31" s="57"/>
      <c r="I31" s="57"/>
      <c r="J31" s="57"/>
      <c r="K31" s="55" t="str">
        <f t="shared" si="2"/>
        <v/>
      </c>
      <c r="L31" s="5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0" customHeight="1">
      <c r="A32" s="1"/>
      <c r="B32" s="56"/>
      <c r="C32" s="56"/>
      <c r="D32" s="57"/>
      <c r="E32" s="57"/>
      <c r="F32" s="57"/>
      <c r="G32" s="57"/>
      <c r="H32" s="57"/>
      <c r="I32" s="57"/>
      <c r="J32" s="57"/>
      <c r="K32" s="55" t="str">
        <f t="shared" si="2"/>
        <v/>
      </c>
      <c r="L32" s="5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0" customHeight="1">
      <c r="A33" s="1"/>
      <c r="B33" s="56"/>
      <c r="C33" s="56"/>
      <c r="D33" s="57"/>
      <c r="E33" s="57"/>
      <c r="F33" s="57"/>
      <c r="G33" s="57"/>
      <c r="H33" s="57"/>
      <c r="I33" s="57"/>
      <c r="J33" s="57"/>
      <c r="K33" s="55" t="str">
        <f t="shared" si="2"/>
        <v/>
      </c>
      <c r="L33" s="5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0" customHeight="1">
      <c r="A34" s="1"/>
      <c r="B34" s="56"/>
      <c r="C34" s="56"/>
      <c r="D34" s="57"/>
      <c r="E34" s="57"/>
      <c r="F34" s="57"/>
      <c r="G34" s="57"/>
      <c r="H34" s="57"/>
      <c r="I34" s="57"/>
      <c r="J34" s="57"/>
      <c r="K34" s="55" t="str">
        <f t="shared" si="2"/>
        <v/>
      </c>
      <c r="L34" s="5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0" customHeight="1">
      <c r="A35" s="1"/>
      <c r="B35" s="56"/>
      <c r="C35" s="56"/>
      <c r="D35" s="57"/>
      <c r="E35" s="57"/>
      <c r="F35" s="57"/>
      <c r="G35" s="57"/>
      <c r="H35" s="57"/>
      <c r="I35" s="57"/>
      <c r="J35" s="57"/>
      <c r="K35" s="55" t="str">
        <f t="shared" si="2"/>
        <v/>
      </c>
      <c r="L35" s="5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0" customHeight="1">
      <c r="A36" s="1"/>
      <c r="B36" s="56"/>
      <c r="C36" s="56"/>
      <c r="D36" s="57"/>
      <c r="E36" s="57"/>
      <c r="F36" s="57"/>
      <c r="G36" s="57"/>
      <c r="H36" s="57"/>
      <c r="I36" s="57"/>
      <c r="J36" s="57"/>
      <c r="K36" s="55" t="str">
        <f t="shared" si="2"/>
        <v/>
      </c>
      <c r="L36" s="5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0" customHeight="1">
      <c r="A37" s="1"/>
      <c r="B37" s="56"/>
      <c r="C37" s="56"/>
      <c r="D37" s="57"/>
      <c r="E37" s="57"/>
      <c r="F37" s="57"/>
      <c r="G37" s="57"/>
      <c r="H37" s="57"/>
      <c r="I37" s="57"/>
      <c r="J37" s="57"/>
      <c r="K37" s="55" t="str">
        <f t="shared" si="2"/>
        <v/>
      </c>
      <c r="L37" s="5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0" customHeight="1">
      <c r="A38" s="1"/>
      <c r="B38" s="56"/>
      <c r="C38" s="56"/>
      <c r="D38" s="57"/>
      <c r="E38" s="57"/>
      <c r="F38" s="57"/>
      <c r="G38" s="57"/>
      <c r="H38" s="57"/>
      <c r="I38" s="57"/>
      <c r="J38" s="57"/>
      <c r="K38" s="55" t="str">
        <f t="shared" si="2"/>
        <v/>
      </c>
      <c r="L38" s="5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0" customHeight="1">
      <c r="A39" s="1"/>
      <c r="B39" s="56"/>
      <c r="C39" s="56"/>
      <c r="D39" s="57"/>
      <c r="E39" s="57"/>
      <c r="F39" s="57"/>
      <c r="G39" s="57"/>
      <c r="H39" s="57"/>
      <c r="I39" s="57"/>
      <c r="J39" s="57"/>
      <c r="K39" s="55" t="str">
        <f t="shared" si="2"/>
        <v/>
      </c>
      <c r="L39" s="5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0" customHeight="1">
      <c r="A40" s="1"/>
      <c r="B40" s="56"/>
      <c r="C40" s="56"/>
      <c r="D40" s="57"/>
      <c r="E40" s="57"/>
      <c r="F40" s="57"/>
      <c r="G40" s="57"/>
      <c r="H40" s="57"/>
      <c r="I40" s="57"/>
      <c r="J40" s="57"/>
      <c r="K40" s="55" t="str">
        <f t="shared" si="2"/>
        <v/>
      </c>
      <c r="L40" s="5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0" customHeight="1">
      <c r="A41" s="1"/>
      <c r="B41" s="56"/>
      <c r="C41" s="56"/>
      <c r="D41" s="57"/>
      <c r="E41" s="57"/>
      <c r="F41" s="57"/>
      <c r="G41" s="57"/>
      <c r="H41" s="57"/>
      <c r="I41" s="57"/>
      <c r="J41" s="57"/>
      <c r="K41" s="55" t="str">
        <f t="shared" si="2"/>
        <v/>
      </c>
      <c r="L41" s="5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0" customHeight="1">
      <c r="A42" s="1"/>
      <c r="B42" s="56"/>
      <c r="C42" s="56"/>
      <c r="D42" s="57"/>
      <c r="E42" s="57"/>
      <c r="F42" s="57"/>
      <c r="G42" s="57"/>
      <c r="H42" s="57"/>
      <c r="I42" s="57"/>
      <c r="J42" s="57"/>
      <c r="K42" s="55" t="str">
        <f t="shared" si="2"/>
        <v/>
      </c>
      <c r="L42" s="5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0" customHeight="1">
      <c r="A43" s="1"/>
      <c r="B43" s="56"/>
      <c r="C43" s="56"/>
      <c r="D43" s="57"/>
      <c r="E43" s="57"/>
      <c r="F43" s="57"/>
      <c r="G43" s="57"/>
      <c r="H43" s="57"/>
      <c r="I43" s="57"/>
      <c r="J43" s="57"/>
      <c r="K43" s="55" t="str">
        <f t="shared" si="2"/>
        <v/>
      </c>
      <c r="L43" s="5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0" customHeight="1">
      <c r="A44" s="1"/>
      <c r="B44" s="56"/>
      <c r="C44" s="56"/>
      <c r="D44" s="57"/>
      <c r="E44" s="57"/>
      <c r="F44" s="57"/>
      <c r="G44" s="57"/>
      <c r="H44" s="57"/>
      <c r="I44" s="57"/>
      <c r="J44" s="57"/>
      <c r="K44" s="55" t="str">
        <f t="shared" si="2"/>
        <v/>
      </c>
      <c r="L44" s="5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0" customHeight="1">
      <c r="A45" s="1"/>
      <c r="B45" s="56"/>
      <c r="C45" s="56"/>
      <c r="D45" s="57"/>
      <c r="E45" s="57"/>
      <c r="F45" s="57"/>
      <c r="G45" s="57"/>
      <c r="H45" s="57"/>
      <c r="I45" s="57"/>
      <c r="J45" s="57"/>
      <c r="K45" s="55" t="str">
        <f t="shared" si="2"/>
        <v/>
      </c>
      <c r="L45" s="5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0" customHeight="1">
      <c r="A46" s="1"/>
      <c r="B46" s="56"/>
      <c r="C46" s="56"/>
      <c r="D46" s="57"/>
      <c r="E46" s="57"/>
      <c r="F46" s="57"/>
      <c r="G46" s="57"/>
      <c r="H46" s="57"/>
      <c r="I46" s="57"/>
      <c r="J46" s="57"/>
      <c r="K46" s="55" t="str">
        <f t="shared" si="2"/>
        <v/>
      </c>
      <c r="L46" s="5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0" customHeight="1">
      <c r="A47" s="1"/>
      <c r="B47" s="56"/>
      <c r="C47" s="56"/>
      <c r="D47" s="57"/>
      <c r="E47" s="57"/>
      <c r="F47" s="57"/>
      <c r="G47" s="57"/>
      <c r="H47" s="57"/>
      <c r="I47" s="57"/>
      <c r="J47" s="57"/>
      <c r="K47" s="55" t="str">
        <f t="shared" si="2"/>
        <v/>
      </c>
      <c r="L47" s="5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0" customHeight="1">
      <c r="A48" s="1"/>
      <c r="B48" s="56"/>
      <c r="C48" s="56"/>
      <c r="D48" s="57"/>
      <c r="E48" s="57"/>
      <c r="F48" s="57"/>
      <c r="G48" s="57"/>
      <c r="H48" s="57"/>
      <c r="I48" s="57"/>
      <c r="J48" s="57"/>
      <c r="K48" s="55" t="str">
        <f t="shared" si="2"/>
        <v/>
      </c>
      <c r="L48" s="5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0" customHeight="1">
      <c r="A49" s="1"/>
      <c r="B49" s="56"/>
      <c r="C49" s="56"/>
      <c r="D49" s="57"/>
      <c r="E49" s="57"/>
      <c r="F49" s="57"/>
      <c r="G49" s="57"/>
      <c r="H49" s="57"/>
      <c r="I49" s="57"/>
      <c r="J49" s="57"/>
      <c r="K49" s="55" t="str">
        <f t="shared" si="2"/>
        <v/>
      </c>
      <c r="L49" s="5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0" customHeight="1">
      <c r="A50" s="1"/>
      <c r="B50" s="56"/>
      <c r="C50" s="56"/>
      <c r="D50" s="57"/>
      <c r="E50" s="57"/>
      <c r="F50" s="57"/>
      <c r="G50" s="57"/>
      <c r="H50" s="57"/>
      <c r="I50" s="57"/>
      <c r="J50" s="57"/>
      <c r="K50" s="55" t="str">
        <f t="shared" si="2"/>
        <v/>
      </c>
      <c r="L50" s="5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0" customHeight="1">
      <c r="A51" s="1"/>
      <c r="B51" s="56"/>
      <c r="C51" s="56"/>
      <c r="D51" s="57"/>
      <c r="E51" s="57"/>
      <c r="F51" s="57"/>
      <c r="G51" s="57"/>
      <c r="H51" s="57"/>
      <c r="I51" s="57"/>
      <c r="J51" s="57"/>
      <c r="K51" s="55" t="str">
        <f t="shared" si="2"/>
        <v/>
      </c>
      <c r="L51" s="5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0" customHeight="1">
      <c r="A52" s="1"/>
      <c r="B52" s="58"/>
      <c r="C52" s="58"/>
      <c r="D52" s="59"/>
      <c r="E52" s="59"/>
      <c r="F52" s="59"/>
      <c r="G52" s="59"/>
      <c r="H52" s="59"/>
      <c r="I52" s="59"/>
      <c r="J52" s="59"/>
      <c r="K52" s="60" t="str">
        <f t="shared" si="2"/>
        <v/>
      </c>
      <c r="L52" s="5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2.5" customHeight="1">
      <c r="A53" s="1"/>
      <c r="B53" s="61" t="s">
        <v>54</v>
      </c>
      <c r="C53" s="62"/>
      <c r="D53" s="62"/>
      <c r="E53" s="62"/>
      <c r="F53" s="62"/>
      <c r="G53" s="62"/>
      <c r="H53" s="62"/>
      <c r="I53" s="62"/>
      <c r="J53" s="62"/>
      <c r="K53" s="63">
        <f>SUMIF(C5:C52,"Good",K5:K52)</f>
        <v>31</v>
      </c>
      <c r="L53" s="5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2.5" customHeight="1">
      <c r="A54" s="1"/>
      <c r="B54" s="64"/>
      <c r="C54" s="65"/>
      <c r="D54" s="65"/>
      <c r="E54" s="65"/>
      <c r="F54" s="65"/>
      <c r="G54" s="65"/>
      <c r="H54" s="65"/>
      <c r="I54" s="65"/>
      <c r="J54" s="65"/>
      <c r="K54" s="63">
        <f>SUMIF(C5:C52,"Bad",K5:K52)</f>
        <v>11</v>
      </c>
      <c r="L54" s="5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66"/>
      <c r="C55" s="67"/>
      <c r="D55" s="67"/>
      <c r="E55" s="67"/>
      <c r="F55" s="67"/>
      <c r="G55" s="67"/>
      <c r="H55" s="67"/>
      <c r="I55" s="67"/>
      <c r="J55" s="67"/>
      <c r="K55" s="68"/>
      <c r="L55" s="28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69"/>
      <c r="C56" s="4"/>
      <c r="D56" s="4"/>
      <c r="E56" s="4"/>
      <c r="F56" s="4"/>
      <c r="G56" s="4"/>
      <c r="H56" s="4"/>
      <c r="I56" s="4"/>
      <c r="J56" s="5"/>
      <c r="K56" s="29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B2:L2"/>
    <mergeCell ref="B56:J56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4.0"/>
    <col customWidth="1" min="3" max="3" width="28.0"/>
    <col customWidth="1" min="4" max="6" width="16.0"/>
    <col customWidth="1" min="7" max="7" width="22.0"/>
    <col customWidth="1" min="8" max="8" width="5.14"/>
    <col customWidth="1" min="9" max="11" width="18.71"/>
    <col customWidth="1" min="12" max="12" width="10.14"/>
    <col customWidth="1" min="13" max="13" width="11.14"/>
    <col customWidth="1" min="14" max="14" width="13.29"/>
    <col customWidth="1" min="15" max="26" width="8.71"/>
  </cols>
  <sheetData>
    <row r="1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9.75" customHeight="1">
      <c r="A2" s="1"/>
      <c r="B2" s="47" t="s">
        <v>55</v>
      </c>
      <c r="C2" s="4"/>
      <c r="D2" s="4"/>
      <c r="E2" s="4"/>
      <c r="F2" s="4"/>
      <c r="G2" s="4"/>
      <c r="H2" s="70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0.0" customHeight="1">
      <c r="A4" s="1"/>
      <c r="B4" s="71" t="s">
        <v>56</v>
      </c>
      <c r="C4" s="72">
        <f>SUMIF(D7:D106,"Income",E7:E106)</f>
        <v>29000</v>
      </c>
      <c r="D4" s="71" t="s">
        <v>57</v>
      </c>
      <c r="E4" s="73">
        <f>SUMIF(D7:D106,"Expense",E7:E106)</f>
        <v>10000</v>
      </c>
      <c r="F4" s="71" t="s">
        <v>58</v>
      </c>
      <c r="G4" s="72">
        <f>C4-E4</f>
        <v>19000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1"/>
      <c r="B6" s="11" t="s">
        <v>59</v>
      </c>
      <c r="C6" s="11" t="s">
        <v>60</v>
      </c>
      <c r="D6" s="11" t="s">
        <v>26</v>
      </c>
      <c r="E6" s="11" t="s">
        <v>61</v>
      </c>
      <c r="F6" s="11" t="s">
        <v>62</v>
      </c>
      <c r="G6" s="74" t="s">
        <v>63</v>
      </c>
      <c r="H6" s="1"/>
      <c r="I6" s="11" t="s">
        <v>64</v>
      </c>
      <c r="J6" s="11"/>
      <c r="K6" s="1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75">
        <v>46113.0</v>
      </c>
      <c r="C7" s="53" t="s">
        <v>65</v>
      </c>
      <c r="D7" s="76" t="s">
        <v>66</v>
      </c>
      <c r="E7" s="77">
        <v>25000.0</v>
      </c>
      <c r="F7" s="78">
        <f>IF(D7="Income",E7,-E7)</f>
        <v>25000</v>
      </c>
      <c r="G7" s="79" t="s">
        <v>67</v>
      </c>
      <c r="H7" s="1"/>
      <c r="I7" s="80" t="s">
        <v>63</v>
      </c>
      <c r="J7" s="80" t="s">
        <v>68</v>
      </c>
      <c r="K7" s="80" t="s">
        <v>69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75">
        <v>46114.0</v>
      </c>
      <c r="C8" s="48" t="s">
        <v>67</v>
      </c>
      <c r="D8" s="54" t="s">
        <v>70</v>
      </c>
      <c r="E8" s="77">
        <v>4000.0</v>
      </c>
      <c r="F8" s="78">
        <f t="shared" ref="F8:F11" si="1">IF(D8="Income",F7+E8,IF(D8="Expense",F7-E8,F7))</f>
        <v>21000</v>
      </c>
      <c r="G8" s="81" t="s">
        <v>67</v>
      </c>
      <c r="H8" s="1"/>
      <c r="I8" s="82" t="s">
        <v>67</v>
      </c>
      <c r="J8" s="83">
        <f t="shared" ref="J8:J14" si="2">IFERROR(SUMIF(G7:G107,I8,E7:E107),0)</f>
        <v>29000</v>
      </c>
      <c r="K8" s="84">
        <f t="shared" ref="K8:K14" si="3">IFERROR(J8/SUMIF(D6:D105,"Expense",E6:E105),0)</f>
        <v>2.9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75">
        <v>46115.0</v>
      </c>
      <c r="C9" s="48" t="s">
        <v>71</v>
      </c>
      <c r="D9" s="54" t="s">
        <v>70</v>
      </c>
      <c r="E9" s="77">
        <v>5500.0</v>
      </c>
      <c r="F9" s="78">
        <f t="shared" si="1"/>
        <v>15500</v>
      </c>
      <c r="G9" s="79" t="s">
        <v>72</v>
      </c>
      <c r="H9" s="1"/>
      <c r="I9" s="85" t="s">
        <v>72</v>
      </c>
      <c r="J9" s="83">
        <f t="shared" si="2"/>
        <v>5500</v>
      </c>
      <c r="K9" s="84">
        <f t="shared" si="3"/>
        <v>0.55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75">
        <v>46117.0</v>
      </c>
      <c r="C10" s="48" t="s">
        <v>73</v>
      </c>
      <c r="D10" s="76" t="s">
        <v>66</v>
      </c>
      <c r="E10" s="77">
        <v>4000.0</v>
      </c>
      <c r="F10" s="78">
        <f t="shared" si="1"/>
        <v>19500</v>
      </c>
      <c r="G10" s="86"/>
      <c r="H10" s="1"/>
      <c r="I10" s="82" t="s">
        <v>74</v>
      </c>
      <c r="J10" s="83">
        <f t="shared" si="2"/>
        <v>0</v>
      </c>
      <c r="K10" s="84">
        <f t="shared" si="3"/>
        <v>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1.75" customHeight="1">
      <c r="A11" s="1"/>
      <c r="B11" s="87" t="s">
        <v>75</v>
      </c>
      <c r="C11" s="48" t="s">
        <v>76</v>
      </c>
      <c r="D11" s="54" t="s">
        <v>70</v>
      </c>
      <c r="E11" s="77">
        <v>500.0</v>
      </c>
      <c r="F11" s="78">
        <f t="shared" si="1"/>
        <v>19000</v>
      </c>
      <c r="G11" s="88" t="s">
        <v>77</v>
      </c>
      <c r="H11" s="1"/>
      <c r="I11" s="85" t="s">
        <v>77</v>
      </c>
      <c r="J11" s="83">
        <f t="shared" si="2"/>
        <v>500</v>
      </c>
      <c r="K11" s="84">
        <f t="shared" si="3"/>
        <v>0.08333333333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1.75" customHeight="1">
      <c r="A12" s="1"/>
      <c r="B12" s="56"/>
      <c r="C12" s="52"/>
      <c r="D12" s="56"/>
      <c r="E12" s="89"/>
      <c r="F12" s="78" t="str">
        <f t="shared" ref="F12:F106" si="4">IF(B12="","",IF(D12="Income",F11+E12,IF(D12="Expense",F11-E12,F11)))</f>
        <v/>
      </c>
      <c r="G12" s="81"/>
      <c r="H12" s="1"/>
      <c r="I12" s="90" t="s">
        <v>78</v>
      </c>
      <c r="J12" s="83">
        <f t="shared" si="2"/>
        <v>0</v>
      </c>
      <c r="K12" s="84">
        <f t="shared" si="3"/>
        <v>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1.75" customHeight="1">
      <c r="A13" s="1"/>
      <c r="B13" s="56"/>
      <c r="C13" s="52"/>
      <c r="D13" s="56"/>
      <c r="E13" s="89"/>
      <c r="F13" s="78" t="str">
        <f t="shared" si="4"/>
        <v/>
      </c>
      <c r="G13" s="79"/>
      <c r="H13" s="1"/>
      <c r="I13" s="91" t="s">
        <v>79</v>
      </c>
      <c r="J13" s="83">
        <f t="shared" si="2"/>
        <v>0</v>
      </c>
      <c r="K13" s="84">
        <f t="shared" si="3"/>
        <v>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56"/>
      <c r="C14" s="52"/>
      <c r="D14" s="56"/>
      <c r="E14" s="89"/>
      <c r="F14" s="78" t="str">
        <f t="shared" si="4"/>
        <v/>
      </c>
      <c r="G14" s="86"/>
      <c r="H14" s="1"/>
      <c r="I14" s="90" t="s">
        <v>80</v>
      </c>
      <c r="J14" s="83">
        <f t="shared" si="2"/>
        <v>0</v>
      </c>
      <c r="K14" s="84">
        <f t="shared" si="3"/>
        <v>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56"/>
      <c r="C15" s="52"/>
      <c r="D15" s="56"/>
      <c r="E15" s="89"/>
      <c r="F15" s="78" t="str">
        <f t="shared" si="4"/>
        <v/>
      </c>
      <c r="G15" s="88"/>
      <c r="H15" s="1"/>
      <c r="I15" s="92" t="s">
        <v>81</v>
      </c>
      <c r="J15" s="4"/>
      <c r="K15" s="5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56"/>
      <c r="C16" s="52"/>
      <c r="D16" s="56"/>
      <c r="E16" s="89"/>
      <c r="F16" s="78" t="str">
        <f t="shared" si="4"/>
        <v/>
      </c>
      <c r="G16" s="81"/>
      <c r="H16" s="1"/>
      <c r="I16" s="93"/>
      <c r="J16" s="93"/>
      <c r="K16" s="9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56"/>
      <c r="C17" s="52"/>
      <c r="D17" s="56"/>
      <c r="E17" s="89"/>
      <c r="F17" s="78" t="str">
        <f t="shared" si="4"/>
        <v/>
      </c>
      <c r="G17" s="79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1.75" customHeight="1">
      <c r="A18" s="1"/>
      <c r="B18" s="56"/>
      <c r="C18" s="52"/>
      <c r="D18" s="56"/>
      <c r="E18" s="89"/>
      <c r="F18" s="78" t="str">
        <f t="shared" si="4"/>
        <v/>
      </c>
      <c r="G18" s="86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56"/>
      <c r="C19" s="52"/>
      <c r="D19" s="56"/>
      <c r="E19" s="89"/>
      <c r="F19" s="78" t="str">
        <f t="shared" si="4"/>
        <v/>
      </c>
      <c r="G19" s="88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56"/>
      <c r="C20" s="52"/>
      <c r="D20" s="56"/>
      <c r="E20" s="89"/>
      <c r="F20" s="78" t="str">
        <f t="shared" si="4"/>
        <v/>
      </c>
      <c r="G20" s="8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56"/>
      <c r="C21" s="52"/>
      <c r="D21" s="56"/>
      <c r="E21" s="89"/>
      <c r="F21" s="78" t="str">
        <f t="shared" si="4"/>
        <v/>
      </c>
      <c r="G21" s="79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56"/>
      <c r="C22" s="52"/>
      <c r="D22" s="56"/>
      <c r="E22" s="89"/>
      <c r="F22" s="78" t="str">
        <f t="shared" si="4"/>
        <v/>
      </c>
      <c r="G22" s="86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56"/>
      <c r="C23" s="52"/>
      <c r="D23" s="56"/>
      <c r="E23" s="89"/>
      <c r="F23" s="78" t="str">
        <f t="shared" si="4"/>
        <v/>
      </c>
      <c r="G23" s="88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1.75" customHeight="1">
      <c r="A24" s="1"/>
      <c r="B24" s="56"/>
      <c r="C24" s="52"/>
      <c r="D24" s="56"/>
      <c r="E24" s="89"/>
      <c r="F24" s="78" t="str">
        <f t="shared" si="4"/>
        <v/>
      </c>
      <c r="G24" s="8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1.75" customHeight="1">
      <c r="A25" s="1"/>
      <c r="B25" s="56"/>
      <c r="C25" s="52"/>
      <c r="D25" s="56"/>
      <c r="E25" s="89"/>
      <c r="F25" s="78" t="str">
        <f t="shared" si="4"/>
        <v/>
      </c>
      <c r="G25" s="79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1.75" customHeight="1">
      <c r="A26" s="1"/>
      <c r="B26" s="56"/>
      <c r="C26" s="52"/>
      <c r="D26" s="56"/>
      <c r="E26" s="89"/>
      <c r="F26" s="78" t="str">
        <f t="shared" si="4"/>
        <v/>
      </c>
      <c r="G26" s="86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1.75" customHeight="1">
      <c r="A27" s="1"/>
      <c r="B27" s="56"/>
      <c r="C27" s="52"/>
      <c r="D27" s="56"/>
      <c r="E27" s="89"/>
      <c r="F27" s="78" t="str">
        <f t="shared" si="4"/>
        <v/>
      </c>
      <c r="G27" s="88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1.75" customHeight="1">
      <c r="A28" s="1"/>
      <c r="B28" s="56"/>
      <c r="C28" s="52"/>
      <c r="D28" s="56"/>
      <c r="E28" s="89"/>
      <c r="F28" s="78" t="str">
        <f t="shared" si="4"/>
        <v/>
      </c>
      <c r="G28" s="8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1.75" customHeight="1">
      <c r="A29" s="1"/>
      <c r="B29" s="56"/>
      <c r="C29" s="52"/>
      <c r="D29" s="56"/>
      <c r="E29" s="89"/>
      <c r="F29" s="78" t="str">
        <f t="shared" si="4"/>
        <v/>
      </c>
      <c r="G29" s="79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1.75" customHeight="1">
      <c r="A30" s="1"/>
      <c r="B30" s="56"/>
      <c r="C30" s="52"/>
      <c r="D30" s="56"/>
      <c r="E30" s="89"/>
      <c r="F30" s="78" t="str">
        <f t="shared" si="4"/>
        <v/>
      </c>
      <c r="G30" s="86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1.75" customHeight="1">
      <c r="A31" s="1"/>
      <c r="B31" s="56"/>
      <c r="C31" s="52"/>
      <c r="D31" s="56"/>
      <c r="E31" s="89"/>
      <c r="F31" s="78" t="str">
        <f t="shared" si="4"/>
        <v/>
      </c>
      <c r="G31" s="88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1.75" customHeight="1">
      <c r="A32" s="1"/>
      <c r="B32" s="56"/>
      <c r="C32" s="52"/>
      <c r="D32" s="56"/>
      <c r="E32" s="89"/>
      <c r="F32" s="78" t="str">
        <f t="shared" si="4"/>
        <v/>
      </c>
      <c r="G32" s="8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1.75" customHeight="1">
      <c r="A33" s="1"/>
      <c r="B33" s="56"/>
      <c r="C33" s="52"/>
      <c r="D33" s="56"/>
      <c r="E33" s="89"/>
      <c r="F33" s="78" t="str">
        <f t="shared" si="4"/>
        <v/>
      </c>
      <c r="G33" s="79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1.75" customHeight="1">
      <c r="A34" s="1"/>
      <c r="B34" s="56"/>
      <c r="C34" s="52"/>
      <c r="D34" s="56"/>
      <c r="E34" s="89"/>
      <c r="F34" s="78" t="str">
        <f t="shared" si="4"/>
        <v/>
      </c>
      <c r="G34" s="86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1.75" customHeight="1">
      <c r="A35" s="1"/>
      <c r="B35" s="56"/>
      <c r="C35" s="52"/>
      <c r="D35" s="56"/>
      <c r="E35" s="89"/>
      <c r="F35" s="78" t="str">
        <f t="shared" si="4"/>
        <v/>
      </c>
      <c r="G35" s="88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1.75" customHeight="1">
      <c r="A36" s="1"/>
      <c r="B36" s="56"/>
      <c r="C36" s="52"/>
      <c r="D36" s="56"/>
      <c r="E36" s="89"/>
      <c r="F36" s="78" t="str">
        <f t="shared" si="4"/>
        <v/>
      </c>
      <c r="G36" s="8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1.75" customHeight="1">
      <c r="A37" s="1"/>
      <c r="B37" s="56"/>
      <c r="C37" s="52"/>
      <c r="D37" s="56"/>
      <c r="E37" s="89"/>
      <c r="F37" s="78" t="str">
        <f t="shared" si="4"/>
        <v/>
      </c>
      <c r="G37" s="79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1.75" customHeight="1">
      <c r="A38" s="1"/>
      <c r="B38" s="56"/>
      <c r="C38" s="52"/>
      <c r="D38" s="56"/>
      <c r="E38" s="89"/>
      <c r="F38" s="78" t="str">
        <f t="shared" si="4"/>
        <v/>
      </c>
      <c r="G38" s="86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1.75" customHeight="1">
      <c r="A39" s="1"/>
      <c r="B39" s="56"/>
      <c r="C39" s="52"/>
      <c r="D39" s="56"/>
      <c r="E39" s="89"/>
      <c r="F39" s="78" t="str">
        <f t="shared" si="4"/>
        <v/>
      </c>
      <c r="G39" s="88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1.75" customHeight="1">
      <c r="A40" s="1"/>
      <c r="B40" s="56"/>
      <c r="C40" s="52"/>
      <c r="D40" s="56"/>
      <c r="E40" s="89"/>
      <c r="F40" s="78" t="str">
        <f t="shared" si="4"/>
        <v/>
      </c>
      <c r="G40" s="8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1.75" customHeight="1">
      <c r="A41" s="1"/>
      <c r="B41" s="56"/>
      <c r="C41" s="52"/>
      <c r="D41" s="56"/>
      <c r="E41" s="89"/>
      <c r="F41" s="78" t="str">
        <f t="shared" si="4"/>
        <v/>
      </c>
      <c r="G41" s="79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1.75" customHeight="1">
      <c r="A42" s="1"/>
      <c r="B42" s="56"/>
      <c r="C42" s="52"/>
      <c r="D42" s="56"/>
      <c r="E42" s="89"/>
      <c r="F42" s="78" t="str">
        <f t="shared" si="4"/>
        <v/>
      </c>
      <c r="G42" s="86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1.75" customHeight="1">
      <c r="A43" s="1"/>
      <c r="B43" s="56"/>
      <c r="C43" s="52"/>
      <c r="D43" s="56"/>
      <c r="E43" s="89"/>
      <c r="F43" s="78" t="str">
        <f t="shared" si="4"/>
        <v/>
      </c>
      <c r="G43" s="88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1.75" customHeight="1">
      <c r="A44" s="1"/>
      <c r="B44" s="56"/>
      <c r="C44" s="52"/>
      <c r="D44" s="56"/>
      <c r="E44" s="89"/>
      <c r="F44" s="78" t="str">
        <f t="shared" si="4"/>
        <v/>
      </c>
      <c r="G44" s="8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1.75" customHeight="1">
      <c r="A45" s="1"/>
      <c r="B45" s="56"/>
      <c r="C45" s="52"/>
      <c r="D45" s="56"/>
      <c r="E45" s="89"/>
      <c r="F45" s="78" t="str">
        <f t="shared" si="4"/>
        <v/>
      </c>
      <c r="G45" s="79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1.75" customHeight="1">
      <c r="A46" s="1"/>
      <c r="B46" s="56"/>
      <c r="C46" s="52"/>
      <c r="D46" s="56"/>
      <c r="E46" s="89"/>
      <c r="F46" s="78" t="str">
        <f t="shared" si="4"/>
        <v/>
      </c>
      <c r="G46" s="86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1.75" customHeight="1">
      <c r="A47" s="1"/>
      <c r="B47" s="56"/>
      <c r="C47" s="52"/>
      <c r="D47" s="56"/>
      <c r="E47" s="89"/>
      <c r="F47" s="78" t="str">
        <f t="shared" si="4"/>
        <v/>
      </c>
      <c r="G47" s="8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1.75" customHeight="1">
      <c r="A48" s="1"/>
      <c r="B48" s="56"/>
      <c r="C48" s="52"/>
      <c r="D48" s="56"/>
      <c r="E48" s="89"/>
      <c r="F48" s="78" t="str">
        <f t="shared" si="4"/>
        <v/>
      </c>
      <c r="G48" s="8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1.75" customHeight="1">
      <c r="A49" s="1"/>
      <c r="B49" s="56"/>
      <c r="C49" s="52"/>
      <c r="D49" s="56"/>
      <c r="E49" s="89"/>
      <c r="F49" s="78" t="str">
        <f t="shared" si="4"/>
        <v/>
      </c>
      <c r="G49" s="79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1.75" customHeight="1">
      <c r="A50" s="1"/>
      <c r="B50" s="56"/>
      <c r="C50" s="52"/>
      <c r="D50" s="56"/>
      <c r="E50" s="89"/>
      <c r="F50" s="78" t="str">
        <f t="shared" si="4"/>
        <v/>
      </c>
      <c r="G50" s="86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1.75" customHeight="1">
      <c r="A51" s="1"/>
      <c r="B51" s="56"/>
      <c r="C51" s="52"/>
      <c r="D51" s="56"/>
      <c r="E51" s="89"/>
      <c r="F51" s="78" t="str">
        <f t="shared" si="4"/>
        <v/>
      </c>
      <c r="G51" s="8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1.75" customHeight="1">
      <c r="A52" s="1"/>
      <c r="B52" s="56"/>
      <c r="C52" s="52"/>
      <c r="D52" s="56"/>
      <c r="E52" s="89"/>
      <c r="F52" s="78" t="str">
        <f t="shared" si="4"/>
        <v/>
      </c>
      <c r="G52" s="8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1.75" customHeight="1">
      <c r="A53" s="1"/>
      <c r="B53" s="56"/>
      <c r="C53" s="52"/>
      <c r="D53" s="56"/>
      <c r="E53" s="89"/>
      <c r="F53" s="78" t="str">
        <f t="shared" si="4"/>
        <v/>
      </c>
      <c r="G53" s="79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1.75" customHeight="1">
      <c r="A54" s="1"/>
      <c r="B54" s="56"/>
      <c r="C54" s="52"/>
      <c r="D54" s="56"/>
      <c r="E54" s="89"/>
      <c r="F54" s="78" t="str">
        <f t="shared" si="4"/>
        <v/>
      </c>
      <c r="G54" s="86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1.75" customHeight="1">
      <c r="A55" s="1"/>
      <c r="B55" s="56"/>
      <c r="C55" s="52"/>
      <c r="D55" s="56"/>
      <c r="E55" s="89"/>
      <c r="F55" s="78" t="str">
        <f t="shared" si="4"/>
        <v/>
      </c>
      <c r="G55" s="8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1.75" customHeight="1">
      <c r="A56" s="1"/>
      <c r="B56" s="56"/>
      <c r="C56" s="52"/>
      <c r="D56" s="56"/>
      <c r="E56" s="89"/>
      <c r="F56" s="78" t="str">
        <f t="shared" si="4"/>
        <v/>
      </c>
      <c r="G56" s="8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1.75" customHeight="1">
      <c r="A57" s="1"/>
      <c r="B57" s="56"/>
      <c r="C57" s="52"/>
      <c r="D57" s="56"/>
      <c r="E57" s="89"/>
      <c r="F57" s="78" t="str">
        <f t="shared" si="4"/>
        <v/>
      </c>
      <c r="G57" s="79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1.75" customHeight="1">
      <c r="A58" s="1"/>
      <c r="B58" s="56"/>
      <c r="C58" s="52"/>
      <c r="D58" s="56"/>
      <c r="E58" s="89"/>
      <c r="F58" s="78" t="str">
        <f t="shared" si="4"/>
        <v/>
      </c>
      <c r="G58" s="86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1.75" customHeight="1">
      <c r="A59" s="1"/>
      <c r="B59" s="56"/>
      <c r="C59" s="52"/>
      <c r="D59" s="56"/>
      <c r="E59" s="89"/>
      <c r="F59" s="78" t="str">
        <f t="shared" si="4"/>
        <v/>
      </c>
      <c r="G59" s="8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1.75" customHeight="1">
      <c r="A60" s="1"/>
      <c r="B60" s="56"/>
      <c r="C60" s="52"/>
      <c r="D60" s="56"/>
      <c r="E60" s="89"/>
      <c r="F60" s="78" t="str">
        <f t="shared" si="4"/>
        <v/>
      </c>
      <c r="G60" s="8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1.75" customHeight="1">
      <c r="A61" s="1"/>
      <c r="B61" s="56"/>
      <c r="C61" s="52"/>
      <c r="D61" s="56"/>
      <c r="E61" s="89"/>
      <c r="F61" s="78" t="str">
        <f t="shared" si="4"/>
        <v/>
      </c>
      <c r="G61" s="79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1.75" customHeight="1">
      <c r="A62" s="1"/>
      <c r="B62" s="56"/>
      <c r="C62" s="52"/>
      <c r="D62" s="56"/>
      <c r="E62" s="89"/>
      <c r="F62" s="78" t="str">
        <f t="shared" si="4"/>
        <v/>
      </c>
      <c r="G62" s="86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1.75" customHeight="1">
      <c r="A63" s="1"/>
      <c r="B63" s="56"/>
      <c r="C63" s="52"/>
      <c r="D63" s="56"/>
      <c r="E63" s="89"/>
      <c r="F63" s="78" t="str">
        <f t="shared" si="4"/>
        <v/>
      </c>
      <c r="G63" s="8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75" customHeight="1">
      <c r="A64" s="1"/>
      <c r="B64" s="56"/>
      <c r="C64" s="52"/>
      <c r="D64" s="56"/>
      <c r="E64" s="89"/>
      <c r="F64" s="78" t="str">
        <f t="shared" si="4"/>
        <v/>
      </c>
      <c r="G64" s="8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A65" s="1"/>
      <c r="B65" s="56"/>
      <c r="C65" s="52"/>
      <c r="D65" s="56"/>
      <c r="E65" s="89"/>
      <c r="F65" s="78" t="str">
        <f t="shared" si="4"/>
        <v/>
      </c>
      <c r="G65" s="79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A66" s="1"/>
      <c r="B66" s="56"/>
      <c r="C66" s="52"/>
      <c r="D66" s="56"/>
      <c r="E66" s="89"/>
      <c r="F66" s="78" t="str">
        <f t="shared" si="4"/>
        <v/>
      </c>
      <c r="G66" s="86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A67" s="1"/>
      <c r="B67" s="56"/>
      <c r="C67" s="52"/>
      <c r="D67" s="56"/>
      <c r="E67" s="89"/>
      <c r="F67" s="78" t="str">
        <f t="shared" si="4"/>
        <v/>
      </c>
      <c r="G67" s="8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A68" s="1"/>
      <c r="B68" s="56"/>
      <c r="C68" s="52"/>
      <c r="D68" s="56"/>
      <c r="E68" s="89"/>
      <c r="F68" s="78" t="str">
        <f t="shared" si="4"/>
        <v/>
      </c>
      <c r="G68" s="8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A69" s="1"/>
      <c r="B69" s="56"/>
      <c r="C69" s="52"/>
      <c r="D69" s="56"/>
      <c r="E69" s="89"/>
      <c r="F69" s="78" t="str">
        <f t="shared" si="4"/>
        <v/>
      </c>
      <c r="G69" s="79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1.75" customHeight="1">
      <c r="A70" s="1"/>
      <c r="B70" s="56"/>
      <c r="C70" s="52"/>
      <c r="D70" s="56"/>
      <c r="E70" s="89"/>
      <c r="F70" s="78" t="str">
        <f t="shared" si="4"/>
        <v/>
      </c>
      <c r="G70" s="86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1.75" customHeight="1">
      <c r="A71" s="1"/>
      <c r="B71" s="56"/>
      <c r="C71" s="52"/>
      <c r="D71" s="56"/>
      <c r="E71" s="89"/>
      <c r="F71" s="78" t="str">
        <f t="shared" si="4"/>
        <v/>
      </c>
      <c r="G71" s="8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1.75" customHeight="1">
      <c r="A72" s="1"/>
      <c r="B72" s="56"/>
      <c r="C72" s="52"/>
      <c r="D72" s="56"/>
      <c r="E72" s="89"/>
      <c r="F72" s="78" t="str">
        <f t="shared" si="4"/>
        <v/>
      </c>
      <c r="G72" s="8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1.75" customHeight="1">
      <c r="A73" s="1"/>
      <c r="B73" s="56"/>
      <c r="C73" s="52"/>
      <c r="D73" s="56"/>
      <c r="E73" s="89"/>
      <c r="F73" s="78" t="str">
        <f t="shared" si="4"/>
        <v/>
      </c>
      <c r="G73" s="79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1.75" customHeight="1">
      <c r="A74" s="1"/>
      <c r="B74" s="56"/>
      <c r="C74" s="52"/>
      <c r="D74" s="56"/>
      <c r="E74" s="89"/>
      <c r="F74" s="78" t="str">
        <f t="shared" si="4"/>
        <v/>
      </c>
      <c r="G74" s="86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1.75" customHeight="1">
      <c r="A75" s="1"/>
      <c r="B75" s="56"/>
      <c r="C75" s="52"/>
      <c r="D75" s="56"/>
      <c r="E75" s="89"/>
      <c r="F75" s="78" t="str">
        <f t="shared" si="4"/>
        <v/>
      </c>
      <c r="G75" s="8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1.75" customHeight="1">
      <c r="A76" s="1"/>
      <c r="B76" s="56"/>
      <c r="C76" s="52"/>
      <c r="D76" s="56"/>
      <c r="E76" s="89"/>
      <c r="F76" s="78" t="str">
        <f t="shared" si="4"/>
        <v/>
      </c>
      <c r="G76" s="8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1.75" customHeight="1">
      <c r="A77" s="1"/>
      <c r="B77" s="56"/>
      <c r="C77" s="52"/>
      <c r="D77" s="56"/>
      <c r="E77" s="89"/>
      <c r="F77" s="78" t="str">
        <f t="shared" si="4"/>
        <v/>
      </c>
      <c r="G77" s="79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1.75" customHeight="1">
      <c r="A78" s="1"/>
      <c r="B78" s="56"/>
      <c r="C78" s="52"/>
      <c r="D78" s="56"/>
      <c r="E78" s="89"/>
      <c r="F78" s="78" t="str">
        <f t="shared" si="4"/>
        <v/>
      </c>
      <c r="G78" s="86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1.75" customHeight="1">
      <c r="A79" s="1"/>
      <c r="B79" s="56"/>
      <c r="C79" s="52"/>
      <c r="D79" s="56"/>
      <c r="E79" s="89"/>
      <c r="F79" s="78" t="str">
        <f t="shared" si="4"/>
        <v/>
      </c>
      <c r="G79" s="8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1.75" customHeight="1">
      <c r="A80" s="1"/>
      <c r="B80" s="56"/>
      <c r="C80" s="52"/>
      <c r="D80" s="56"/>
      <c r="E80" s="89"/>
      <c r="F80" s="78" t="str">
        <f t="shared" si="4"/>
        <v/>
      </c>
      <c r="G80" s="8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1.75" customHeight="1">
      <c r="A81" s="1"/>
      <c r="B81" s="56"/>
      <c r="C81" s="52"/>
      <c r="D81" s="56"/>
      <c r="E81" s="89"/>
      <c r="F81" s="78" t="str">
        <f t="shared" si="4"/>
        <v/>
      </c>
      <c r="G81" s="79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1.75" customHeight="1">
      <c r="A82" s="1"/>
      <c r="B82" s="56"/>
      <c r="C82" s="52"/>
      <c r="D82" s="56"/>
      <c r="E82" s="89"/>
      <c r="F82" s="78" t="str">
        <f t="shared" si="4"/>
        <v/>
      </c>
      <c r="G82" s="86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1.75" customHeight="1">
      <c r="A83" s="1"/>
      <c r="B83" s="56"/>
      <c r="C83" s="52"/>
      <c r="D83" s="56"/>
      <c r="E83" s="89"/>
      <c r="F83" s="78" t="str">
        <f t="shared" si="4"/>
        <v/>
      </c>
      <c r="G83" s="8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1.75" customHeight="1">
      <c r="A84" s="1"/>
      <c r="B84" s="56"/>
      <c r="C84" s="52"/>
      <c r="D84" s="56"/>
      <c r="E84" s="89"/>
      <c r="F84" s="78" t="str">
        <f t="shared" si="4"/>
        <v/>
      </c>
      <c r="G84" s="8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1.75" customHeight="1">
      <c r="A85" s="1"/>
      <c r="B85" s="56"/>
      <c r="C85" s="52"/>
      <c r="D85" s="56"/>
      <c r="E85" s="89"/>
      <c r="F85" s="78" t="str">
        <f t="shared" si="4"/>
        <v/>
      </c>
      <c r="G85" s="79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1.75" customHeight="1">
      <c r="A86" s="1"/>
      <c r="B86" s="56"/>
      <c r="C86" s="52"/>
      <c r="D86" s="56"/>
      <c r="E86" s="89"/>
      <c r="F86" s="78" t="str">
        <f t="shared" si="4"/>
        <v/>
      </c>
      <c r="G86" s="86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1.75" customHeight="1">
      <c r="A87" s="1"/>
      <c r="B87" s="56"/>
      <c r="C87" s="52"/>
      <c r="D87" s="56"/>
      <c r="E87" s="89"/>
      <c r="F87" s="78" t="str">
        <f t="shared" si="4"/>
        <v/>
      </c>
      <c r="G87" s="8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1.75" customHeight="1">
      <c r="A88" s="1"/>
      <c r="B88" s="56"/>
      <c r="C88" s="52"/>
      <c r="D88" s="56"/>
      <c r="E88" s="89"/>
      <c r="F88" s="78" t="str">
        <f t="shared" si="4"/>
        <v/>
      </c>
      <c r="G88" s="8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1.75" customHeight="1">
      <c r="A89" s="1"/>
      <c r="B89" s="56"/>
      <c r="C89" s="52"/>
      <c r="D89" s="56"/>
      <c r="E89" s="89"/>
      <c r="F89" s="78" t="str">
        <f t="shared" si="4"/>
        <v/>
      </c>
      <c r="G89" s="79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1.75" customHeight="1">
      <c r="A90" s="1"/>
      <c r="B90" s="56"/>
      <c r="C90" s="52"/>
      <c r="D90" s="56"/>
      <c r="E90" s="89"/>
      <c r="F90" s="78" t="str">
        <f t="shared" si="4"/>
        <v/>
      </c>
      <c r="G90" s="86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1.75" customHeight="1">
      <c r="A91" s="1"/>
      <c r="B91" s="56"/>
      <c r="C91" s="52"/>
      <c r="D91" s="56"/>
      <c r="E91" s="89"/>
      <c r="F91" s="78" t="str">
        <f t="shared" si="4"/>
        <v/>
      </c>
      <c r="G91" s="8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1.75" customHeight="1">
      <c r="A92" s="1"/>
      <c r="B92" s="56"/>
      <c r="C92" s="52"/>
      <c r="D92" s="56"/>
      <c r="E92" s="89"/>
      <c r="F92" s="78" t="str">
        <f t="shared" si="4"/>
        <v/>
      </c>
      <c r="G92" s="8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1.75" customHeight="1">
      <c r="A93" s="1"/>
      <c r="B93" s="56"/>
      <c r="C93" s="52"/>
      <c r="D93" s="56"/>
      <c r="E93" s="89"/>
      <c r="F93" s="78" t="str">
        <f t="shared" si="4"/>
        <v/>
      </c>
      <c r="G93" s="79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1.75" customHeight="1">
      <c r="A94" s="1"/>
      <c r="B94" s="56"/>
      <c r="C94" s="52"/>
      <c r="D94" s="56"/>
      <c r="E94" s="89"/>
      <c r="F94" s="78" t="str">
        <f t="shared" si="4"/>
        <v/>
      </c>
      <c r="G94" s="86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1.75" customHeight="1">
      <c r="A95" s="1"/>
      <c r="B95" s="56"/>
      <c r="C95" s="52"/>
      <c r="D95" s="56"/>
      <c r="E95" s="89"/>
      <c r="F95" s="78" t="str">
        <f t="shared" si="4"/>
        <v/>
      </c>
      <c r="G95" s="8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1.75" customHeight="1">
      <c r="A96" s="1"/>
      <c r="B96" s="56"/>
      <c r="C96" s="52"/>
      <c r="D96" s="56"/>
      <c r="E96" s="89"/>
      <c r="F96" s="78" t="str">
        <f t="shared" si="4"/>
        <v/>
      </c>
      <c r="G96" s="8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1.75" customHeight="1">
      <c r="A97" s="1"/>
      <c r="B97" s="56"/>
      <c r="C97" s="52"/>
      <c r="D97" s="56"/>
      <c r="E97" s="89"/>
      <c r="F97" s="78" t="str">
        <f t="shared" si="4"/>
        <v/>
      </c>
      <c r="G97" s="79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1.75" customHeight="1">
      <c r="A98" s="1"/>
      <c r="B98" s="56"/>
      <c r="C98" s="52"/>
      <c r="D98" s="56"/>
      <c r="E98" s="89"/>
      <c r="F98" s="78" t="str">
        <f t="shared" si="4"/>
        <v/>
      </c>
      <c r="G98" s="86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1.75" customHeight="1">
      <c r="A99" s="1"/>
      <c r="B99" s="56"/>
      <c r="C99" s="52"/>
      <c r="D99" s="56"/>
      <c r="E99" s="89"/>
      <c r="F99" s="78" t="str">
        <f t="shared" si="4"/>
        <v/>
      </c>
      <c r="G99" s="8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1.75" customHeight="1">
      <c r="A100" s="1"/>
      <c r="B100" s="56"/>
      <c r="C100" s="52"/>
      <c r="D100" s="56"/>
      <c r="E100" s="89"/>
      <c r="F100" s="78" t="str">
        <f t="shared" si="4"/>
        <v/>
      </c>
      <c r="G100" s="8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1.75" customHeight="1">
      <c r="A101" s="1"/>
      <c r="B101" s="56"/>
      <c r="C101" s="52"/>
      <c r="D101" s="56"/>
      <c r="E101" s="89"/>
      <c r="F101" s="78" t="str">
        <f t="shared" si="4"/>
        <v/>
      </c>
      <c r="G101" s="79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1.75" customHeight="1">
      <c r="A102" s="1"/>
      <c r="B102" s="56"/>
      <c r="C102" s="52"/>
      <c r="D102" s="56"/>
      <c r="E102" s="89"/>
      <c r="F102" s="78" t="str">
        <f t="shared" si="4"/>
        <v/>
      </c>
      <c r="G102" s="86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1.75" customHeight="1">
      <c r="A103" s="1"/>
      <c r="B103" s="56"/>
      <c r="C103" s="52"/>
      <c r="D103" s="56"/>
      <c r="E103" s="89"/>
      <c r="F103" s="78" t="str">
        <f t="shared" si="4"/>
        <v/>
      </c>
      <c r="G103" s="8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1.75" customHeight="1">
      <c r="A104" s="1"/>
      <c r="B104" s="56"/>
      <c r="C104" s="52"/>
      <c r="D104" s="56"/>
      <c r="E104" s="89"/>
      <c r="F104" s="78" t="str">
        <f t="shared" si="4"/>
        <v/>
      </c>
      <c r="G104" s="8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1.75" customHeight="1">
      <c r="A105" s="1"/>
      <c r="B105" s="56"/>
      <c r="C105" s="52"/>
      <c r="D105" s="56"/>
      <c r="E105" s="89"/>
      <c r="F105" s="78" t="str">
        <f t="shared" si="4"/>
        <v/>
      </c>
      <c r="G105" s="79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1.75" customHeight="1">
      <c r="A106" s="1"/>
      <c r="B106" s="56"/>
      <c r="C106" s="52"/>
      <c r="D106" s="56"/>
      <c r="E106" s="89"/>
      <c r="F106" s="78" t="str">
        <f t="shared" si="4"/>
        <v/>
      </c>
      <c r="G106" s="86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5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1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1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1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1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1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1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1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1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1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1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1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1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1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1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1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2">
    <mergeCell ref="B2:G2"/>
    <mergeCell ref="I15:K15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50.71"/>
    <col customWidth="1" min="3" max="3" width="16.0"/>
    <col customWidth="1" min="4" max="4" width="12.0"/>
    <col customWidth="1" min="5" max="5" width="18.57"/>
    <col customWidth="1" min="6" max="6" width="22.71"/>
    <col customWidth="1" min="7" max="7" width="7.57"/>
    <col customWidth="1" min="8" max="26" width="8.71"/>
  </cols>
  <sheetData>
    <row r="1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9.75" customHeight="1">
      <c r="A2" s="1"/>
      <c r="B2" s="47" t="s">
        <v>82</v>
      </c>
      <c r="C2" s="4"/>
      <c r="D2" s="4"/>
      <c r="E2" s="4"/>
      <c r="F2" s="4"/>
      <c r="G2" s="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5.5" customHeight="1">
      <c r="A4" s="1"/>
      <c r="B4" s="94" t="s">
        <v>83</v>
      </c>
      <c r="C4" s="4"/>
      <c r="D4" s="4"/>
      <c r="E4" s="4"/>
      <c r="F4" s="4"/>
      <c r="G4" s="5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11" t="s">
        <v>84</v>
      </c>
      <c r="C5" s="11" t="s">
        <v>85</v>
      </c>
      <c r="D5" s="11" t="s">
        <v>86</v>
      </c>
      <c r="E5" s="11" t="s">
        <v>87</v>
      </c>
      <c r="F5" s="12" t="s">
        <v>35</v>
      </c>
      <c r="G5" s="17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53" t="s">
        <v>88</v>
      </c>
      <c r="C6" s="53" t="s">
        <v>89</v>
      </c>
      <c r="D6" s="53" t="s">
        <v>90</v>
      </c>
      <c r="E6" s="48" t="s">
        <v>91</v>
      </c>
      <c r="F6" s="95" t="s">
        <v>92</v>
      </c>
      <c r="G6" s="96"/>
      <c r="H6" s="28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48" t="s">
        <v>93</v>
      </c>
      <c r="C7" s="48" t="s">
        <v>94</v>
      </c>
      <c r="D7" s="53" t="s">
        <v>90</v>
      </c>
      <c r="E7" s="53" t="s">
        <v>95</v>
      </c>
      <c r="F7" s="97" t="s">
        <v>96</v>
      </c>
      <c r="G7" s="98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48" t="s">
        <v>97</v>
      </c>
      <c r="C8" s="48" t="s">
        <v>98</v>
      </c>
      <c r="D8" s="53" t="s">
        <v>90</v>
      </c>
      <c r="E8" s="53" t="s">
        <v>99</v>
      </c>
      <c r="F8" s="97" t="s">
        <v>100</v>
      </c>
      <c r="G8" s="98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53" t="s">
        <v>101</v>
      </c>
      <c r="C9" s="53" t="s">
        <v>102</v>
      </c>
      <c r="D9" s="53" t="s">
        <v>103</v>
      </c>
      <c r="E9" s="48"/>
      <c r="F9" s="99"/>
      <c r="G9" s="98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53" t="s">
        <v>104</v>
      </c>
      <c r="C10" s="53" t="s">
        <v>105</v>
      </c>
      <c r="D10" s="53" t="s">
        <v>106</v>
      </c>
      <c r="E10" s="52"/>
      <c r="F10" s="99"/>
      <c r="G10" s="98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1.75" customHeight="1">
      <c r="A11" s="1"/>
      <c r="B11" s="52"/>
      <c r="C11" s="52"/>
      <c r="D11" s="52"/>
      <c r="E11" s="52"/>
      <c r="F11" s="99"/>
      <c r="G11" s="98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1.75" customHeight="1">
      <c r="A12" s="1"/>
      <c r="B12" s="52"/>
      <c r="C12" s="52"/>
      <c r="D12" s="52"/>
      <c r="E12" s="52"/>
      <c r="F12" s="99"/>
      <c r="G12" s="98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1.75" customHeight="1">
      <c r="A13" s="1"/>
      <c r="B13" s="52"/>
      <c r="C13" s="52"/>
      <c r="D13" s="52"/>
      <c r="E13" s="52"/>
      <c r="F13" s="99"/>
      <c r="G13" s="98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52"/>
      <c r="C14" s="52"/>
      <c r="D14" s="52"/>
      <c r="E14" s="52"/>
      <c r="F14" s="99"/>
      <c r="G14" s="98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52"/>
      <c r="C15" s="52"/>
      <c r="D15" s="52"/>
      <c r="E15" s="52"/>
      <c r="F15" s="99"/>
      <c r="G15" s="98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52"/>
      <c r="C16" s="52"/>
      <c r="D16" s="52"/>
      <c r="E16" s="52"/>
      <c r="F16" s="99"/>
      <c r="G16" s="98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52"/>
      <c r="C17" s="52"/>
      <c r="D17" s="52"/>
      <c r="E17" s="52"/>
      <c r="F17" s="99"/>
      <c r="G17" s="98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1.75" customHeight="1">
      <c r="A18" s="1"/>
      <c r="B18" s="52"/>
      <c r="C18" s="52"/>
      <c r="D18" s="52"/>
      <c r="E18" s="52"/>
      <c r="F18" s="99"/>
      <c r="G18" s="98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52"/>
      <c r="C19" s="52"/>
      <c r="D19" s="52"/>
      <c r="E19" s="52"/>
      <c r="F19" s="99"/>
      <c r="G19" s="98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52"/>
      <c r="C20" s="52"/>
      <c r="D20" s="52"/>
      <c r="E20" s="52"/>
      <c r="F20" s="99"/>
      <c r="G20" s="9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52"/>
      <c r="C21" s="52"/>
      <c r="D21" s="52"/>
      <c r="E21" s="52"/>
      <c r="F21" s="99"/>
      <c r="G21" s="98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52"/>
      <c r="C22" s="52"/>
      <c r="D22" s="52"/>
      <c r="E22" s="52"/>
      <c r="F22" s="99"/>
      <c r="G22" s="98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52"/>
      <c r="C23" s="52"/>
      <c r="D23" s="52"/>
      <c r="E23" s="52"/>
      <c r="F23" s="99"/>
      <c r="G23" s="98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69"/>
      <c r="G24" s="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5.5" customHeight="1">
      <c r="A25" s="1"/>
      <c r="B25" s="94" t="s">
        <v>107</v>
      </c>
      <c r="C25" s="4"/>
      <c r="D25" s="4"/>
      <c r="E25" s="4"/>
      <c r="F25" s="4"/>
      <c r="G25" s="5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1.75" customHeight="1">
      <c r="A26" s="1"/>
      <c r="B26" s="11" t="s">
        <v>108</v>
      </c>
      <c r="C26" s="11" t="s">
        <v>109</v>
      </c>
      <c r="D26" s="11" t="s">
        <v>110</v>
      </c>
      <c r="E26" s="11" t="s">
        <v>111</v>
      </c>
      <c r="F26" s="12" t="s">
        <v>35</v>
      </c>
      <c r="G26" s="1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1.75" customHeight="1">
      <c r="A27" s="1"/>
      <c r="B27" s="48" t="s">
        <v>112</v>
      </c>
      <c r="C27" s="48" t="s">
        <v>113</v>
      </c>
      <c r="D27" s="48" t="s">
        <v>114</v>
      </c>
      <c r="E27" s="48" t="s">
        <v>90</v>
      </c>
      <c r="F27" s="95"/>
      <c r="G27" s="98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1.75" customHeight="1">
      <c r="A28" s="1"/>
      <c r="B28" s="48" t="s">
        <v>115</v>
      </c>
      <c r="C28" s="48" t="s">
        <v>116</v>
      </c>
      <c r="D28" s="48" t="s">
        <v>117</v>
      </c>
      <c r="E28" s="48" t="s">
        <v>118</v>
      </c>
      <c r="F28" s="95"/>
      <c r="G28" s="98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1.75" customHeight="1">
      <c r="A29" s="1"/>
      <c r="B29" s="48" t="s">
        <v>119</v>
      </c>
      <c r="C29" s="48" t="s">
        <v>120</v>
      </c>
      <c r="D29" s="48" t="s">
        <v>121</v>
      </c>
      <c r="E29" s="48" t="s">
        <v>122</v>
      </c>
      <c r="F29" s="95"/>
      <c r="G29" s="98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1.75" customHeight="1">
      <c r="A30" s="1"/>
      <c r="B30" s="52"/>
      <c r="C30" s="52"/>
      <c r="D30" s="52"/>
      <c r="E30" s="52"/>
      <c r="F30" s="99"/>
      <c r="G30" s="98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1.75" customHeight="1">
      <c r="A31" s="1"/>
      <c r="B31" s="52"/>
      <c r="C31" s="52"/>
      <c r="D31" s="52"/>
      <c r="E31" s="52"/>
      <c r="F31" s="99"/>
      <c r="G31" s="98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1.75" customHeight="1">
      <c r="A32" s="1"/>
      <c r="B32" s="52"/>
      <c r="C32" s="52"/>
      <c r="D32" s="52"/>
      <c r="E32" s="52"/>
      <c r="F32" s="99"/>
      <c r="G32" s="98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1.75" customHeight="1">
      <c r="A33" s="1"/>
      <c r="B33" s="52"/>
      <c r="C33" s="52"/>
      <c r="D33" s="52"/>
      <c r="E33" s="52"/>
      <c r="F33" s="99"/>
      <c r="G33" s="98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1.75" customHeight="1">
      <c r="A34" s="1"/>
      <c r="B34" s="52"/>
      <c r="C34" s="52"/>
      <c r="D34" s="52"/>
      <c r="E34" s="52"/>
      <c r="F34" s="99"/>
      <c r="G34" s="98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1.75" customHeight="1">
      <c r="A35" s="1"/>
      <c r="B35" s="52"/>
      <c r="C35" s="52"/>
      <c r="D35" s="52"/>
      <c r="E35" s="52"/>
      <c r="F35" s="99"/>
      <c r="G35" s="98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1.75" customHeight="1">
      <c r="A36" s="1"/>
      <c r="B36" s="52"/>
      <c r="C36" s="52"/>
      <c r="D36" s="52"/>
      <c r="E36" s="52"/>
      <c r="F36" s="99"/>
      <c r="G36" s="98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1.75" customHeight="1">
      <c r="A37" s="1"/>
      <c r="B37" s="52"/>
      <c r="C37" s="52"/>
      <c r="D37" s="52"/>
      <c r="E37" s="52"/>
      <c r="F37" s="99"/>
      <c r="G37" s="98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1.75" customHeight="1">
      <c r="A38" s="1"/>
      <c r="B38" s="52"/>
      <c r="C38" s="52"/>
      <c r="D38" s="52"/>
      <c r="E38" s="52"/>
      <c r="F38" s="99"/>
      <c r="G38" s="98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1.75" customHeight="1">
      <c r="A39" s="1"/>
      <c r="B39" s="52"/>
      <c r="C39" s="52"/>
      <c r="D39" s="52"/>
      <c r="E39" s="52"/>
      <c r="F39" s="99"/>
      <c r="G39" s="98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1.75" customHeight="1">
      <c r="A40" s="1"/>
      <c r="B40" s="52"/>
      <c r="C40" s="52"/>
      <c r="D40" s="52"/>
      <c r="E40" s="52"/>
      <c r="F40" s="99"/>
      <c r="G40" s="98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1.75" customHeight="1">
      <c r="A41" s="1"/>
      <c r="B41" s="52"/>
      <c r="C41" s="52"/>
      <c r="D41" s="52"/>
      <c r="E41" s="52"/>
      <c r="F41" s="99"/>
      <c r="G41" s="98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1.75" customHeight="1">
      <c r="A42" s="1"/>
      <c r="B42" s="52"/>
      <c r="C42" s="52"/>
      <c r="D42" s="52"/>
      <c r="E42" s="52"/>
      <c r="F42" s="99"/>
      <c r="G42" s="98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1.75" customHeight="1">
      <c r="A43" s="1"/>
      <c r="B43" s="52"/>
      <c r="C43" s="52"/>
      <c r="D43" s="52"/>
      <c r="E43" s="52"/>
      <c r="F43" s="99"/>
      <c r="G43" s="98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1.75" customHeight="1">
      <c r="A44" s="1"/>
      <c r="B44" s="52"/>
      <c r="C44" s="52"/>
      <c r="D44" s="52"/>
      <c r="E44" s="52"/>
      <c r="F44" s="99"/>
      <c r="G44" s="98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69"/>
      <c r="G45" s="5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5.5" customHeight="1">
      <c r="A46" s="1"/>
      <c r="B46" s="94" t="s">
        <v>123</v>
      </c>
      <c r="C46" s="4"/>
      <c r="D46" s="4"/>
      <c r="E46" s="4"/>
      <c r="F46" s="4"/>
      <c r="G46" s="5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1.75" customHeight="1">
      <c r="A47" s="1"/>
      <c r="B47" s="11" t="s">
        <v>124</v>
      </c>
      <c r="C47" s="11" t="s">
        <v>63</v>
      </c>
      <c r="D47" s="11" t="s">
        <v>86</v>
      </c>
      <c r="E47" s="11" t="s">
        <v>125</v>
      </c>
      <c r="F47" s="12" t="s">
        <v>35</v>
      </c>
      <c r="G47" s="1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1.75" customHeight="1">
      <c r="A48" s="1"/>
      <c r="B48" s="48" t="s">
        <v>126</v>
      </c>
      <c r="C48" s="53" t="s">
        <v>127</v>
      </c>
      <c r="D48" s="48" t="s">
        <v>117</v>
      </c>
      <c r="E48" s="100">
        <v>46113.0</v>
      </c>
      <c r="F48" s="95"/>
      <c r="G48" s="98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1.75" customHeight="1">
      <c r="A49" s="1"/>
      <c r="B49" s="48" t="s">
        <v>128</v>
      </c>
      <c r="C49" s="48" t="s">
        <v>129</v>
      </c>
      <c r="D49" s="48" t="s">
        <v>121</v>
      </c>
      <c r="E49" s="101">
        <v>46143.0</v>
      </c>
      <c r="F49" s="95"/>
      <c r="G49" s="9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1.75" customHeight="1">
      <c r="A50" s="1"/>
      <c r="B50" s="48" t="s">
        <v>130</v>
      </c>
      <c r="C50" s="48" t="s">
        <v>127</v>
      </c>
      <c r="D50" s="48" t="s">
        <v>90</v>
      </c>
      <c r="E50" s="100">
        <v>46082.0</v>
      </c>
      <c r="F50" s="95"/>
      <c r="G50" s="9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1.75" customHeight="1">
      <c r="A51" s="1"/>
      <c r="B51" s="53" t="s">
        <v>131</v>
      </c>
      <c r="C51" s="48" t="s">
        <v>129</v>
      </c>
      <c r="D51" s="48" t="s">
        <v>121</v>
      </c>
      <c r="E51" s="100">
        <v>46113.0</v>
      </c>
      <c r="F51" s="99"/>
      <c r="G51" s="9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1.75" customHeight="1">
      <c r="A52" s="1"/>
      <c r="B52" s="52"/>
      <c r="C52" s="52"/>
      <c r="D52" s="52"/>
      <c r="E52" s="52"/>
      <c r="F52" s="99"/>
      <c r="G52" s="9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1.75" customHeight="1">
      <c r="A53" s="1"/>
      <c r="B53" s="52"/>
      <c r="C53" s="52"/>
      <c r="D53" s="52"/>
      <c r="E53" s="52"/>
      <c r="F53" s="99"/>
      <c r="G53" s="9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1.75" customHeight="1">
      <c r="A54" s="1"/>
      <c r="B54" s="52"/>
      <c r="C54" s="52"/>
      <c r="D54" s="52"/>
      <c r="E54" s="52"/>
      <c r="F54" s="99"/>
      <c r="G54" s="9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1.75" customHeight="1">
      <c r="A55" s="1"/>
      <c r="B55" s="52"/>
      <c r="C55" s="52"/>
      <c r="D55" s="52"/>
      <c r="E55" s="52"/>
      <c r="F55" s="99"/>
      <c r="G55" s="9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1.75" customHeight="1">
      <c r="A56" s="1"/>
      <c r="B56" s="52"/>
      <c r="C56" s="52"/>
      <c r="D56" s="52"/>
      <c r="E56" s="52"/>
      <c r="F56" s="99"/>
      <c r="G56" s="9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1.75" customHeight="1">
      <c r="A57" s="1"/>
      <c r="B57" s="52"/>
      <c r="C57" s="52"/>
      <c r="D57" s="52"/>
      <c r="E57" s="52"/>
      <c r="F57" s="99"/>
      <c r="G57" s="9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1.75" customHeight="1">
      <c r="A58" s="1"/>
      <c r="B58" s="52"/>
      <c r="C58" s="52"/>
      <c r="D58" s="52"/>
      <c r="E58" s="52"/>
      <c r="F58" s="99"/>
      <c r="G58" s="9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1.75" customHeight="1">
      <c r="A59" s="1"/>
      <c r="B59" s="52"/>
      <c r="C59" s="52"/>
      <c r="D59" s="52"/>
      <c r="E59" s="52"/>
      <c r="F59" s="99"/>
      <c r="G59" s="9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1.75" customHeight="1">
      <c r="A60" s="1"/>
      <c r="B60" s="52"/>
      <c r="C60" s="52"/>
      <c r="D60" s="52"/>
      <c r="E60" s="52"/>
      <c r="F60" s="99"/>
      <c r="G60" s="9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1.75" customHeight="1">
      <c r="A61" s="1"/>
      <c r="B61" s="52"/>
      <c r="C61" s="52"/>
      <c r="D61" s="52"/>
      <c r="E61" s="52"/>
      <c r="F61" s="99"/>
      <c r="G61" s="9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1.75" customHeight="1">
      <c r="A62" s="1"/>
      <c r="B62" s="52"/>
      <c r="C62" s="52"/>
      <c r="D62" s="52"/>
      <c r="E62" s="52"/>
      <c r="F62" s="99"/>
      <c r="G62" s="9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1.75" customHeight="1">
      <c r="A63" s="1"/>
      <c r="B63" s="52"/>
      <c r="C63" s="52"/>
      <c r="D63" s="52"/>
      <c r="E63" s="52"/>
      <c r="F63" s="99"/>
      <c r="G63" s="9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75" customHeight="1">
      <c r="A64" s="1"/>
      <c r="B64" s="52"/>
      <c r="C64" s="52"/>
      <c r="D64" s="52"/>
      <c r="E64" s="52"/>
      <c r="F64" s="99"/>
      <c r="G64" s="9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A65" s="1"/>
      <c r="B65" s="52"/>
      <c r="C65" s="52"/>
      <c r="D65" s="52"/>
      <c r="E65" s="52"/>
      <c r="F65" s="99"/>
      <c r="G65" s="9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69"/>
      <c r="G66" s="5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5.5" customHeight="1">
      <c r="A67" s="1"/>
      <c r="B67" s="94" t="s">
        <v>132</v>
      </c>
      <c r="C67" s="4"/>
      <c r="D67" s="4"/>
      <c r="E67" s="4"/>
      <c r="F67" s="4"/>
      <c r="G67" s="5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A68" s="1"/>
      <c r="B68" s="11" t="s">
        <v>59</v>
      </c>
      <c r="C68" s="102" t="s">
        <v>133</v>
      </c>
      <c r="D68" s="4"/>
      <c r="E68" s="4"/>
      <c r="F68" s="4"/>
      <c r="G68" s="5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A69" s="1"/>
      <c r="B69" s="48" t="s">
        <v>134</v>
      </c>
      <c r="C69" s="48" t="s">
        <v>135</v>
      </c>
      <c r="D69" s="48"/>
      <c r="E69" s="48"/>
      <c r="F69" s="48"/>
      <c r="G69" s="103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1.75" customHeight="1">
      <c r="A70" s="1"/>
      <c r="B70" s="48" t="s">
        <v>136</v>
      </c>
      <c r="C70" s="48" t="s">
        <v>137</v>
      </c>
      <c r="D70" s="48"/>
      <c r="E70" s="48"/>
      <c r="F70" s="48"/>
      <c r="G70" s="104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1.75" customHeight="1">
      <c r="A71" s="1"/>
      <c r="B71" s="105">
        <v>46117.0</v>
      </c>
      <c r="C71" s="53" t="s">
        <v>138</v>
      </c>
      <c r="D71" s="52"/>
      <c r="E71" s="52"/>
      <c r="F71" s="52"/>
      <c r="G71" s="106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1.75" customHeight="1">
      <c r="A72" s="1"/>
      <c r="B72" s="52"/>
      <c r="C72" s="52"/>
      <c r="D72" s="52"/>
      <c r="E72" s="52"/>
      <c r="F72" s="52"/>
      <c r="G72" s="106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1.75" customHeight="1">
      <c r="A73" s="1"/>
      <c r="B73" s="52"/>
      <c r="C73" s="52"/>
      <c r="D73" s="52"/>
      <c r="E73" s="52"/>
      <c r="F73" s="52"/>
      <c r="G73" s="5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1.75" customHeight="1">
      <c r="A74" s="1"/>
      <c r="B74" s="52"/>
      <c r="C74" s="52"/>
      <c r="D74" s="52"/>
      <c r="E74" s="52"/>
      <c r="F74" s="52"/>
      <c r="G74" s="5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1.75" customHeight="1">
      <c r="A75" s="1"/>
      <c r="B75" s="52"/>
      <c r="C75" s="52"/>
      <c r="D75" s="52"/>
      <c r="E75" s="52"/>
      <c r="F75" s="52"/>
      <c r="G75" s="5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1.75" customHeight="1">
      <c r="A76" s="1"/>
      <c r="B76" s="52"/>
      <c r="C76" s="52"/>
      <c r="D76" s="52"/>
      <c r="E76" s="52"/>
      <c r="F76" s="52"/>
      <c r="G76" s="5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1.75" customHeight="1">
      <c r="A77" s="1"/>
      <c r="B77" s="52"/>
      <c r="C77" s="52"/>
      <c r="D77" s="52"/>
      <c r="E77" s="52"/>
      <c r="F77" s="52"/>
      <c r="G77" s="5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1.75" customHeight="1">
      <c r="A78" s="1"/>
      <c r="B78" s="52"/>
      <c r="C78" s="52"/>
      <c r="D78" s="52"/>
      <c r="E78" s="52"/>
      <c r="F78" s="52"/>
      <c r="G78" s="5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1.75" customHeight="1">
      <c r="A79" s="1"/>
      <c r="B79" s="52"/>
      <c r="C79" s="52"/>
      <c r="D79" s="52"/>
      <c r="E79" s="52"/>
      <c r="F79" s="52"/>
      <c r="G79" s="5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1.75" customHeight="1">
      <c r="A80" s="1"/>
      <c r="B80" s="52"/>
      <c r="C80" s="52"/>
      <c r="D80" s="52"/>
      <c r="E80" s="52"/>
      <c r="F80" s="52"/>
      <c r="G80" s="5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1.75" customHeight="1">
      <c r="A81" s="1"/>
      <c r="B81" s="52"/>
      <c r="C81" s="52"/>
      <c r="D81" s="52"/>
      <c r="E81" s="52"/>
      <c r="F81" s="52"/>
      <c r="G81" s="52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1.75" customHeight="1">
      <c r="A82" s="1"/>
      <c r="B82" s="52"/>
      <c r="C82" s="52"/>
      <c r="D82" s="52"/>
      <c r="E82" s="52"/>
      <c r="F82" s="52"/>
      <c r="G82" s="5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1.75" customHeight="1">
      <c r="A83" s="1"/>
      <c r="B83" s="52"/>
      <c r="C83" s="52"/>
      <c r="D83" s="52"/>
      <c r="E83" s="52"/>
      <c r="F83" s="52"/>
      <c r="G83" s="5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1.75" customHeight="1">
      <c r="A84" s="1"/>
      <c r="B84" s="52"/>
      <c r="C84" s="52"/>
      <c r="D84" s="52"/>
      <c r="E84" s="52"/>
      <c r="F84" s="52"/>
      <c r="G84" s="5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1.75" customHeight="1">
      <c r="A85" s="1"/>
      <c r="B85" s="52"/>
      <c r="C85" s="52"/>
      <c r="D85" s="52"/>
      <c r="E85" s="52"/>
      <c r="F85" s="52"/>
      <c r="G85" s="5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6">
    <mergeCell ref="F47:G47"/>
    <mergeCell ref="F48:G48"/>
    <mergeCell ref="F49:G49"/>
    <mergeCell ref="F50:G50"/>
    <mergeCell ref="F51:G51"/>
    <mergeCell ref="F52:G52"/>
    <mergeCell ref="F53:G53"/>
    <mergeCell ref="F61:G61"/>
    <mergeCell ref="F62:G62"/>
    <mergeCell ref="F63:G63"/>
    <mergeCell ref="F64:G64"/>
    <mergeCell ref="F65:G65"/>
    <mergeCell ref="F66:G66"/>
    <mergeCell ref="B67:G67"/>
    <mergeCell ref="C68:G68"/>
    <mergeCell ref="F54:G54"/>
    <mergeCell ref="F55:G55"/>
    <mergeCell ref="F56:G56"/>
    <mergeCell ref="F57:G57"/>
    <mergeCell ref="F58:G58"/>
    <mergeCell ref="F59:G59"/>
    <mergeCell ref="F60:G60"/>
    <mergeCell ref="B2:G2"/>
    <mergeCell ref="B4:G4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24:G24"/>
    <mergeCell ref="B25:G25"/>
    <mergeCell ref="F17:G17"/>
    <mergeCell ref="F18:G18"/>
    <mergeCell ref="F19:G19"/>
    <mergeCell ref="F20:G20"/>
    <mergeCell ref="F21:G21"/>
    <mergeCell ref="F22:G22"/>
    <mergeCell ref="F23:G23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B46:G46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6.0"/>
    <col customWidth="1" min="3" max="3" width="22.0"/>
    <col customWidth="1" min="4" max="4" width="25.86"/>
    <col customWidth="1" min="5" max="5" width="22.0"/>
    <col customWidth="1" min="6" max="6" width="12.0"/>
    <col customWidth="1" min="7" max="7" width="14.0"/>
    <col customWidth="1" min="8" max="8" width="9.29"/>
    <col customWidth="1" min="9" max="9" width="19.57"/>
    <col customWidth="1" min="10" max="10" width="14.43"/>
    <col customWidth="1" min="11" max="19" width="10.14"/>
    <col customWidth="1" min="20" max="26" width="8.71"/>
  </cols>
  <sheetData>
    <row r="1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9.75" customHeight="1">
      <c r="A2" s="1"/>
      <c r="B2" s="47" t="s">
        <v>139</v>
      </c>
      <c r="C2" s="107"/>
      <c r="D2" s="107"/>
      <c r="E2" s="107"/>
      <c r="F2" s="107"/>
      <c r="G2" s="10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6.25" customHeight="1">
      <c r="A4" s="1"/>
      <c r="B4" s="108" t="s">
        <v>140</v>
      </c>
      <c r="C4" s="109"/>
      <c r="D4" s="109"/>
      <c r="E4" s="109"/>
      <c r="F4" s="109"/>
      <c r="G4" s="109"/>
      <c r="H4" s="1"/>
      <c r="I4" s="107" t="s">
        <v>141</v>
      </c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"/>
      <c r="U4" s="1"/>
      <c r="V4" s="1"/>
      <c r="W4" s="1"/>
      <c r="X4" s="1"/>
      <c r="Y4" s="1"/>
      <c r="Z4" s="1"/>
    </row>
    <row r="5" ht="26.25" customHeight="1">
      <c r="A5" s="1"/>
      <c r="B5" s="11" t="s">
        <v>142</v>
      </c>
      <c r="C5" s="11" t="s">
        <v>143</v>
      </c>
      <c r="D5" s="11" t="s">
        <v>144</v>
      </c>
      <c r="E5" s="11" t="s">
        <v>35</v>
      </c>
      <c r="F5" s="11" t="s">
        <v>145</v>
      </c>
      <c r="G5" s="110" t="s">
        <v>146</v>
      </c>
      <c r="H5" s="1"/>
      <c r="I5" s="111" t="s">
        <v>147</v>
      </c>
      <c r="J5" s="111" t="s">
        <v>26</v>
      </c>
      <c r="K5" s="111" t="s">
        <v>27</v>
      </c>
      <c r="L5" s="111" t="s">
        <v>28</v>
      </c>
      <c r="M5" s="111" t="s">
        <v>29</v>
      </c>
      <c r="N5" s="111" t="s">
        <v>30</v>
      </c>
      <c r="O5" s="111" t="s">
        <v>31</v>
      </c>
      <c r="P5" s="111" t="s">
        <v>32</v>
      </c>
      <c r="Q5" s="111" t="s">
        <v>33</v>
      </c>
      <c r="R5" s="111" t="s">
        <v>145</v>
      </c>
      <c r="S5" s="111" t="s">
        <v>35</v>
      </c>
      <c r="T5" s="1"/>
      <c r="U5" s="1"/>
      <c r="V5" s="1"/>
      <c r="W5" s="1"/>
      <c r="X5" s="1"/>
      <c r="Y5" s="1"/>
      <c r="Z5" s="1"/>
    </row>
    <row r="6" ht="26.25" customHeight="1">
      <c r="A6" s="1"/>
      <c r="B6" s="53" t="s">
        <v>148</v>
      </c>
      <c r="C6" s="112" t="s">
        <v>149</v>
      </c>
      <c r="D6" s="113" t="s">
        <v>150</v>
      </c>
      <c r="E6" s="56"/>
      <c r="F6" s="114" t="s">
        <v>38</v>
      </c>
      <c r="G6" s="115">
        <v>5.0</v>
      </c>
      <c r="H6" s="28"/>
      <c r="I6" s="116" t="s">
        <v>151</v>
      </c>
      <c r="J6" s="117" t="s">
        <v>152</v>
      </c>
      <c r="K6" s="118" t="s">
        <v>38</v>
      </c>
      <c r="L6" s="119"/>
      <c r="M6" s="119"/>
      <c r="N6" s="119"/>
      <c r="O6" s="119"/>
      <c r="P6" s="119"/>
      <c r="Q6" s="119"/>
      <c r="R6" s="120">
        <f t="shared" ref="R6:R13" si="1">COUNTIF(K6:Q6,"✔")</f>
        <v>1</v>
      </c>
      <c r="S6" s="119"/>
      <c r="T6" s="1"/>
      <c r="U6" s="1"/>
      <c r="V6" s="1"/>
      <c r="W6" s="1"/>
      <c r="X6" s="1"/>
      <c r="Y6" s="1"/>
      <c r="Z6" s="1"/>
    </row>
    <row r="7" ht="26.25" customHeight="1">
      <c r="A7" s="1"/>
      <c r="B7" s="53" t="s">
        <v>153</v>
      </c>
      <c r="C7" s="113" t="s">
        <v>154</v>
      </c>
      <c r="D7" s="113" t="s">
        <v>155</v>
      </c>
      <c r="E7" s="56"/>
      <c r="F7" s="121" t="s">
        <v>38</v>
      </c>
      <c r="G7" s="115">
        <v>5.0</v>
      </c>
      <c r="H7" s="1"/>
      <c r="I7" s="122" t="s">
        <v>156</v>
      </c>
      <c r="J7" s="123" t="s">
        <v>157</v>
      </c>
      <c r="K7" s="86"/>
      <c r="L7" s="86"/>
      <c r="M7" s="86"/>
      <c r="N7" s="86"/>
      <c r="O7" s="86"/>
      <c r="P7" s="86"/>
      <c r="Q7" s="86"/>
      <c r="R7" s="120">
        <f t="shared" si="1"/>
        <v>0</v>
      </c>
      <c r="S7" s="86"/>
      <c r="T7" s="1"/>
      <c r="U7" s="1"/>
      <c r="V7" s="1"/>
      <c r="W7" s="1"/>
      <c r="X7" s="1"/>
      <c r="Y7" s="1"/>
      <c r="Z7" s="1"/>
    </row>
    <row r="8" ht="26.25" customHeight="1">
      <c r="A8" s="1"/>
      <c r="B8" s="53" t="s">
        <v>158</v>
      </c>
      <c r="C8" s="113" t="s">
        <v>159</v>
      </c>
      <c r="D8" s="113" t="s">
        <v>160</v>
      </c>
      <c r="E8" s="56"/>
      <c r="F8" s="121" t="s">
        <v>38</v>
      </c>
      <c r="G8" s="115">
        <v>5.0</v>
      </c>
      <c r="H8" s="1"/>
      <c r="I8" s="116" t="s">
        <v>161</v>
      </c>
      <c r="J8" s="117" t="s">
        <v>162</v>
      </c>
      <c r="K8" s="119"/>
      <c r="L8" s="119"/>
      <c r="M8" s="119"/>
      <c r="N8" s="119"/>
      <c r="O8" s="119"/>
      <c r="P8" s="119"/>
      <c r="Q8" s="119"/>
      <c r="R8" s="120">
        <f t="shared" si="1"/>
        <v>0</v>
      </c>
      <c r="S8" s="119"/>
      <c r="T8" s="1"/>
      <c r="U8" s="1"/>
      <c r="V8" s="1"/>
      <c r="W8" s="1"/>
      <c r="X8" s="1"/>
      <c r="Y8" s="1"/>
      <c r="Z8" s="1"/>
    </row>
    <row r="9" ht="26.25" customHeight="1">
      <c r="A9" s="1"/>
      <c r="B9" s="53" t="s">
        <v>163</v>
      </c>
      <c r="C9" s="113" t="s">
        <v>164</v>
      </c>
      <c r="D9" s="113" t="s">
        <v>165</v>
      </c>
      <c r="E9" s="56"/>
      <c r="F9" s="121" t="s">
        <v>38</v>
      </c>
      <c r="G9" s="115">
        <v>5.0</v>
      </c>
      <c r="H9" s="1"/>
      <c r="I9" s="122" t="s">
        <v>166</v>
      </c>
      <c r="J9" s="123" t="s">
        <v>152</v>
      </c>
      <c r="K9" s="86"/>
      <c r="L9" s="86"/>
      <c r="M9" s="86"/>
      <c r="N9" s="86"/>
      <c r="O9" s="86"/>
      <c r="P9" s="86"/>
      <c r="Q9" s="86"/>
      <c r="R9" s="120">
        <f t="shared" si="1"/>
        <v>0</v>
      </c>
      <c r="S9" s="86"/>
      <c r="T9" s="1"/>
      <c r="U9" s="1"/>
      <c r="V9" s="1"/>
      <c r="W9" s="1"/>
      <c r="X9" s="1"/>
      <c r="Y9" s="1"/>
      <c r="Z9" s="1"/>
    </row>
    <row r="10" ht="26.25" customHeight="1">
      <c r="A10" s="1"/>
      <c r="B10" s="53" t="s">
        <v>167</v>
      </c>
      <c r="C10" s="113" t="s">
        <v>168</v>
      </c>
      <c r="D10" s="113" t="s">
        <v>169</v>
      </c>
      <c r="E10" s="56"/>
      <c r="F10" s="121" t="s">
        <v>38</v>
      </c>
      <c r="G10" s="115">
        <v>5.0</v>
      </c>
      <c r="H10" s="1"/>
      <c r="I10" s="116" t="s">
        <v>170</v>
      </c>
      <c r="J10" s="117" t="s">
        <v>157</v>
      </c>
      <c r="K10" s="119"/>
      <c r="L10" s="119"/>
      <c r="M10" s="119"/>
      <c r="N10" s="119"/>
      <c r="O10" s="119"/>
      <c r="P10" s="119"/>
      <c r="Q10" s="119"/>
      <c r="R10" s="120">
        <f t="shared" si="1"/>
        <v>0</v>
      </c>
      <c r="S10" s="119"/>
      <c r="T10" s="1"/>
      <c r="U10" s="1"/>
      <c r="V10" s="1"/>
      <c r="W10" s="1"/>
      <c r="X10" s="1"/>
      <c r="Y10" s="1"/>
      <c r="Z10" s="1"/>
    </row>
    <row r="11" ht="26.25" customHeight="1">
      <c r="A11" s="1"/>
      <c r="B11" s="53" t="s">
        <v>171</v>
      </c>
      <c r="C11" s="113" t="s">
        <v>172</v>
      </c>
      <c r="D11" s="113" t="s">
        <v>173</v>
      </c>
      <c r="E11" s="103"/>
      <c r="F11" s="121" t="s">
        <v>38</v>
      </c>
      <c r="G11" s="115">
        <v>5.0</v>
      </c>
      <c r="H11" s="1"/>
      <c r="I11" s="122" t="s">
        <v>174</v>
      </c>
      <c r="J11" s="123" t="s">
        <v>162</v>
      </c>
      <c r="K11" s="86"/>
      <c r="L11" s="86"/>
      <c r="M11" s="86"/>
      <c r="N11" s="86"/>
      <c r="O11" s="86"/>
      <c r="P11" s="86"/>
      <c r="Q11" s="86"/>
      <c r="R11" s="120">
        <f t="shared" si="1"/>
        <v>0</v>
      </c>
      <c r="S11" s="86"/>
      <c r="T11" s="1"/>
      <c r="U11" s="1"/>
      <c r="V11" s="1"/>
      <c r="W11" s="1"/>
      <c r="X11" s="1"/>
      <c r="Y11" s="1"/>
      <c r="Z11" s="1"/>
    </row>
    <row r="12" ht="26.25" customHeight="1">
      <c r="A12" s="1"/>
      <c r="B12" s="1"/>
      <c r="C12" s="1"/>
      <c r="D12" s="1"/>
      <c r="E12" s="1"/>
      <c r="F12" s="1"/>
      <c r="G12" s="1"/>
      <c r="H12" s="1"/>
      <c r="I12" s="116" t="s">
        <v>175</v>
      </c>
      <c r="J12" s="117" t="s">
        <v>176</v>
      </c>
      <c r="K12" s="119"/>
      <c r="L12" s="119"/>
      <c r="M12" s="119"/>
      <c r="N12" s="119"/>
      <c r="O12" s="119"/>
      <c r="P12" s="119"/>
      <c r="Q12" s="119"/>
      <c r="R12" s="120">
        <f t="shared" si="1"/>
        <v>0</v>
      </c>
      <c r="S12" s="119"/>
      <c r="T12" s="1"/>
      <c r="U12" s="1"/>
      <c r="V12" s="1"/>
      <c r="W12" s="1"/>
      <c r="X12" s="1"/>
      <c r="Y12" s="1"/>
      <c r="Z12" s="1"/>
    </row>
    <row r="13" ht="26.25" customHeight="1">
      <c r="A13" s="1"/>
      <c r="B13" s="124" t="s">
        <v>177</v>
      </c>
      <c r="C13" s="125"/>
      <c r="D13" s="125"/>
      <c r="E13" s="125"/>
      <c r="F13" s="125"/>
      <c r="G13" s="125"/>
      <c r="H13" s="1"/>
      <c r="I13" s="122" t="s">
        <v>178</v>
      </c>
      <c r="J13" s="123" t="s">
        <v>176</v>
      </c>
      <c r="K13" s="86"/>
      <c r="L13" s="86"/>
      <c r="M13" s="86"/>
      <c r="N13" s="86"/>
      <c r="O13" s="86"/>
      <c r="P13" s="86"/>
      <c r="Q13" s="86"/>
      <c r="R13" s="120">
        <f t="shared" si="1"/>
        <v>0</v>
      </c>
      <c r="S13" s="86"/>
      <c r="T13" s="1"/>
      <c r="U13" s="1"/>
      <c r="V13" s="1"/>
      <c r="W13" s="1"/>
      <c r="X13" s="1"/>
      <c r="Y13" s="1"/>
      <c r="Z13" s="1"/>
    </row>
    <row r="14" ht="26.25" customHeight="1">
      <c r="A14" s="1"/>
      <c r="B14" s="11" t="s">
        <v>142</v>
      </c>
      <c r="C14" s="11" t="s">
        <v>143</v>
      </c>
      <c r="D14" s="11" t="s">
        <v>144</v>
      </c>
      <c r="E14" s="11" t="s">
        <v>35</v>
      </c>
      <c r="F14" s="11" t="s">
        <v>145</v>
      </c>
      <c r="G14" s="11" t="s">
        <v>146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6.25" customHeight="1">
      <c r="A15" s="1"/>
      <c r="B15" s="53" t="s">
        <v>179</v>
      </c>
      <c r="C15" s="113" t="s">
        <v>180</v>
      </c>
      <c r="D15" s="112" t="s">
        <v>181</v>
      </c>
      <c r="E15" s="56"/>
      <c r="F15" s="121" t="s">
        <v>38</v>
      </c>
      <c r="G15" s="115">
        <v>5.0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6.25" customHeight="1">
      <c r="A16" s="1"/>
      <c r="B16" s="53" t="s">
        <v>182</v>
      </c>
      <c r="C16" s="113" t="s">
        <v>183</v>
      </c>
      <c r="D16" s="112" t="s">
        <v>173</v>
      </c>
      <c r="E16" s="56"/>
      <c r="F16" s="121" t="s">
        <v>38</v>
      </c>
      <c r="G16" s="115">
        <v>5.0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6.25" customHeight="1">
      <c r="A17" s="1"/>
      <c r="B17" s="53" t="s">
        <v>184</v>
      </c>
      <c r="C17" s="113" t="s">
        <v>185</v>
      </c>
      <c r="D17" s="112" t="s">
        <v>186</v>
      </c>
      <c r="E17" s="56"/>
      <c r="F17" s="121" t="s">
        <v>38</v>
      </c>
      <c r="G17" s="115">
        <v>5.0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6.25" customHeight="1">
      <c r="A18" s="1"/>
      <c r="B18" s="53" t="s">
        <v>187</v>
      </c>
      <c r="C18" s="113" t="s">
        <v>188</v>
      </c>
      <c r="D18" s="113" t="s">
        <v>155</v>
      </c>
      <c r="E18" s="56"/>
      <c r="F18" s="121" t="s">
        <v>38</v>
      </c>
      <c r="G18" s="115">
        <v>5.0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6.25" customHeight="1">
      <c r="A19" s="1"/>
      <c r="B19" s="53" t="s">
        <v>171</v>
      </c>
      <c r="C19" s="112" t="s">
        <v>189</v>
      </c>
      <c r="D19" s="112" t="s">
        <v>173</v>
      </c>
      <c r="E19" s="56"/>
      <c r="F19" s="121" t="s">
        <v>38</v>
      </c>
      <c r="G19" s="115">
        <v>5.0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6.25" customHeight="1">
      <c r="A20" s="1"/>
      <c r="B20" s="53" t="s">
        <v>190</v>
      </c>
      <c r="C20" s="113" t="s">
        <v>191</v>
      </c>
      <c r="D20" s="112" t="s">
        <v>173</v>
      </c>
      <c r="E20" s="103"/>
      <c r="F20" s="121" t="s">
        <v>38</v>
      </c>
      <c r="G20" s="115">
        <v>5.0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6.25" customHeight="1">
      <c r="A21" s="1"/>
      <c r="B21" s="126"/>
      <c r="C21" s="127"/>
      <c r="D21" s="127"/>
      <c r="E21" s="127"/>
      <c r="F21" s="127"/>
      <c r="G21" s="128"/>
      <c r="H21" s="28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6.25" customHeight="1">
      <c r="A22" s="1"/>
      <c r="B22" s="124" t="s">
        <v>192</v>
      </c>
      <c r="C22" s="125"/>
      <c r="D22" s="125"/>
      <c r="E22" s="125"/>
      <c r="F22" s="125"/>
      <c r="G22" s="125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6.25" customHeight="1">
      <c r="A23" s="1"/>
      <c r="B23" s="11" t="s">
        <v>142</v>
      </c>
      <c r="C23" s="11" t="s">
        <v>143</v>
      </c>
      <c r="D23" s="11" t="s">
        <v>144</v>
      </c>
      <c r="E23" s="11" t="s">
        <v>35</v>
      </c>
      <c r="F23" s="11" t="s">
        <v>145</v>
      </c>
      <c r="G23" s="11" t="s">
        <v>146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6.25" customHeight="1">
      <c r="A24" s="1"/>
      <c r="B24" s="53" t="s">
        <v>167</v>
      </c>
      <c r="C24" s="112" t="s">
        <v>193</v>
      </c>
      <c r="D24" s="112" t="s">
        <v>194</v>
      </c>
      <c r="E24" s="56"/>
      <c r="F24" s="121" t="s">
        <v>38</v>
      </c>
      <c r="G24" s="115">
        <v>5.0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6.25" customHeight="1">
      <c r="A25" s="1"/>
      <c r="B25" s="53" t="s">
        <v>153</v>
      </c>
      <c r="C25" s="112" t="s">
        <v>195</v>
      </c>
      <c r="D25" s="112" t="s">
        <v>196</v>
      </c>
      <c r="E25" s="56"/>
      <c r="F25" s="121" t="s">
        <v>38</v>
      </c>
      <c r="G25" s="115">
        <v>5.0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6.25" customHeight="1">
      <c r="A26" s="1"/>
      <c r="B26" s="53" t="s">
        <v>158</v>
      </c>
      <c r="C26" s="112" t="s">
        <v>197</v>
      </c>
      <c r="D26" s="112" t="s">
        <v>198</v>
      </c>
      <c r="E26" s="56"/>
      <c r="F26" s="121" t="s">
        <v>38</v>
      </c>
      <c r="G26" s="115">
        <v>5.0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6.25" customHeight="1">
      <c r="A27" s="1"/>
      <c r="B27" s="53" t="s">
        <v>148</v>
      </c>
      <c r="C27" s="112" t="s">
        <v>199</v>
      </c>
      <c r="D27" s="112" t="s">
        <v>200</v>
      </c>
      <c r="E27" s="56"/>
      <c r="F27" s="121" t="s">
        <v>38</v>
      </c>
      <c r="G27" s="115">
        <v>5.0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6.25" customHeight="1">
      <c r="A28" s="1"/>
      <c r="B28" s="53" t="s">
        <v>171</v>
      </c>
      <c r="C28" s="112" t="s">
        <v>195</v>
      </c>
      <c r="D28" s="112" t="s">
        <v>201</v>
      </c>
      <c r="E28" s="56"/>
      <c r="F28" s="121" t="s">
        <v>38</v>
      </c>
      <c r="G28" s="115">
        <v>5.0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6.25" customHeight="1">
      <c r="A29" s="1"/>
      <c r="B29" s="53" t="s">
        <v>190</v>
      </c>
      <c r="C29" s="113" t="s">
        <v>191</v>
      </c>
      <c r="D29" s="112" t="s">
        <v>173</v>
      </c>
      <c r="E29" s="103"/>
      <c r="F29" s="121" t="s">
        <v>38</v>
      </c>
      <c r="G29" s="115">
        <v>5.0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5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1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1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1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1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1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1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1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1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1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1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1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1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1.75" customHeight="1">
      <c r="A43" s="1"/>
      <c r="B43" s="129"/>
      <c r="C43" s="129"/>
      <c r="D43" s="129"/>
      <c r="E43" s="129"/>
      <c r="F43" s="129"/>
      <c r="G43" s="129"/>
      <c r="H43" s="129"/>
      <c r="I43" s="129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1.75" customHeight="1">
      <c r="A44" s="1"/>
      <c r="B44" s="129"/>
      <c r="C44" s="129"/>
      <c r="D44" s="129"/>
      <c r="E44" s="129"/>
      <c r="F44" s="129"/>
      <c r="G44" s="129"/>
      <c r="H44" s="129"/>
      <c r="I44" s="129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1.75" customHeight="1">
      <c r="A45" s="1"/>
      <c r="B45" s="129"/>
      <c r="C45" s="129"/>
      <c r="D45" s="129"/>
      <c r="E45" s="129"/>
      <c r="F45" s="129"/>
      <c r="G45" s="129"/>
      <c r="H45" s="129"/>
      <c r="I45" s="129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1.75" customHeight="1">
      <c r="A46" s="1"/>
      <c r="B46" s="129"/>
      <c r="C46" s="129"/>
      <c r="D46" s="129"/>
      <c r="E46" s="129"/>
      <c r="F46" s="129"/>
      <c r="G46" s="129"/>
      <c r="H46" s="129"/>
      <c r="I46" s="129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1.75" customHeight="1">
      <c r="A47" s="1"/>
      <c r="B47" s="129"/>
      <c r="C47" s="129"/>
      <c r="D47" s="129"/>
      <c r="E47" s="129"/>
      <c r="F47" s="129"/>
      <c r="G47" s="129"/>
      <c r="H47" s="129"/>
      <c r="I47" s="129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1.75" customHeight="1">
      <c r="A48" s="1"/>
      <c r="B48" s="129"/>
      <c r="C48" s="129"/>
      <c r="D48" s="129"/>
      <c r="E48" s="129"/>
      <c r="F48" s="129"/>
      <c r="G48" s="129"/>
      <c r="H48" s="129"/>
      <c r="I48" s="129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1.75" customHeight="1">
      <c r="A49" s="1"/>
      <c r="B49" s="129"/>
      <c r="C49" s="129"/>
      <c r="D49" s="129"/>
      <c r="E49" s="129"/>
      <c r="F49" s="129"/>
      <c r="G49" s="129"/>
      <c r="H49" s="129"/>
      <c r="I49" s="129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1.75" customHeight="1">
      <c r="A50" s="1"/>
      <c r="B50" s="129"/>
      <c r="C50" s="129"/>
      <c r="D50" s="129"/>
      <c r="E50" s="129"/>
      <c r="F50" s="129"/>
      <c r="G50" s="129"/>
      <c r="H50" s="129"/>
      <c r="I50" s="129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1.75" customHeight="1">
      <c r="A51" s="1"/>
      <c r="B51" s="129"/>
      <c r="C51" s="129"/>
      <c r="D51" s="129"/>
      <c r="E51" s="129"/>
      <c r="F51" s="129"/>
      <c r="G51" s="129"/>
      <c r="H51" s="129"/>
      <c r="I51" s="129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29"/>
      <c r="C52" s="129"/>
      <c r="D52" s="129"/>
      <c r="E52" s="129"/>
      <c r="F52" s="129"/>
      <c r="G52" s="129"/>
      <c r="H52" s="129"/>
      <c r="I52" s="129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29"/>
      <c r="C53" s="129"/>
      <c r="D53" s="129"/>
      <c r="E53" s="129"/>
      <c r="F53" s="129"/>
      <c r="G53" s="129"/>
      <c r="H53" s="129"/>
      <c r="I53" s="129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0.0"/>
    <col customWidth="1" min="3" max="4" width="14.0"/>
    <col customWidth="1" min="5" max="8" width="16.0"/>
    <col customWidth="1" min="9" max="9" width="20.0"/>
    <col customWidth="1" min="10" max="10" width="2.0"/>
    <col customWidth="1" min="11" max="26" width="8.71"/>
  </cols>
  <sheetData>
    <row r="1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9.75" customHeight="1">
      <c r="A2" s="1"/>
      <c r="B2" s="47" t="s">
        <v>202</v>
      </c>
      <c r="C2" s="4"/>
      <c r="D2" s="4"/>
      <c r="E2" s="4"/>
      <c r="F2" s="4"/>
      <c r="G2" s="4"/>
      <c r="H2" s="4"/>
      <c r="I2" s="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5.5" customHeight="1">
      <c r="A4" s="1"/>
      <c r="B4" s="94" t="s">
        <v>203</v>
      </c>
      <c r="C4" s="4"/>
      <c r="D4" s="4"/>
      <c r="E4" s="4"/>
      <c r="F4" s="4"/>
      <c r="G4" s="4"/>
      <c r="H4" s="4"/>
      <c r="I4" s="5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11" t="s">
        <v>204</v>
      </c>
      <c r="C5" s="11" t="s">
        <v>205</v>
      </c>
      <c r="D5" s="11" t="s">
        <v>206</v>
      </c>
      <c r="E5" s="11" t="s">
        <v>207</v>
      </c>
      <c r="F5" s="11" t="s">
        <v>208</v>
      </c>
      <c r="G5" s="12" t="s">
        <v>35</v>
      </c>
      <c r="H5" s="16"/>
      <c r="I5" s="1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130" t="s">
        <v>209</v>
      </c>
      <c r="C6" s="55">
        <f>COUNTIF(Habits!C5:I52,"✔")</f>
        <v>27</v>
      </c>
      <c r="D6" s="55">
        <f t="array" ref="D6">IFERROR(SUMPRODUCT((MMULT((Habits!C5:I52="✔")*1,{1;1;1;1;1;1;1})&gt;0)*1),"—")</f>
        <v>5</v>
      </c>
      <c r="E6" s="131" t="s">
        <v>210</v>
      </c>
      <c r="F6" s="132">
        <f>IFERROR(SUMIF(Finances!D7:D106,"Expense",Finances!E7:E106),"—")</f>
        <v>10000</v>
      </c>
      <c r="G6" s="133" t="s">
        <v>211</v>
      </c>
      <c r="H6" s="96"/>
      <c r="I6" s="98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56"/>
      <c r="C7" s="56"/>
      <c r="D7" s="56"/>
      <c r="E7" s="56"/>
      <c r="F7" s="56"/>
      <c r="G7" s="99"/>
      <c r="H7" s="96"/>
      <c r="I7" s="98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56"/>
      <c r="C8" s="56"/>
      <c r="D8" s="56"/>
      <c r="E8" s="56"/>
      <c r="F8" s="56"/>
      <c r="G8" s="99"/>
      <c r="H8" s="96"/>
      <c r="I8" s="98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56"/>
      <c r="C9" s="56"/>
      <c r="D9" s="56"/>
      <c r="E9" s="56"/>
      <c r="F9" s="56"/>
      <c r="G9" s="99"/>
      <c r="H9" s="96"/>
      <c r="I9" s="98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56"/>
      <c r="C10" s="56"/>
      <c r="D10" s="56"/>
      <c r="E10" s="56"/>
      <c r="F10" s="56"/>
      <c r="G10" s="99"/>
      <c r="H10" s="96"/>
      <c r="I10" s="98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1.75" customHeight="1">
      <c r="A11" s="1"/>
      <c r="B11" s="56"/>
      <c r="C11" s="56"/>
      <c r="D11" s="56"/>
      <c r="E11" s="56"/>
      <c r="F11" s="56"/>
      <c r="G11" s="99"/>
      <c r="H11" s="96"/>
      <c r="I11" s="98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1.75" customHeight="1">
      <c r="A12" s="1"/>
      <c r="B12" s="56"/>
      <c r="C12" s="56"/>
      <c r="D12" s="56"/>
      <c r="E12" s="56"/>
      <c r="F12" s="56"/>
      <c r="G12" s="99"/>
      <c r="H12" s="96"/>
      <c r="I12" s="98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1.75" customHeight="1">
      <c r="A13" s="1"/>
      <c r="B13" s="56"/>
      <c r="C13" s="56"/>
      <c r="D13" s="56"/>
      <c r="E13" s="56"/>
      <c r="F13" s="56"/>
      <c r="G13" s="99"/>
      <c r="H13" s="96"/>
      <c r="I13" s="98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56"/>
      <c r="C14" s="56"/>
      <c r="D14" s="56"/>
      <c r="E14" s="56"/>
      <c r="F14" s="56"/>
      <c r="G14" s="99"/>
      <c r="H14" s="96"/>
      <c r="I14" s="98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56"/>
      <c r="C15" s="56"/>
      <c r="D15" s="56"/>
      <c r="E15" s="56"/>
      <c r="F15" s="56"/>
      <c r="G15" s="99"/>
      <c r="H15" s="96"/>
      <c r="I15" s="98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56"/>
      <c r="C16" s="56"/>
      <c r="D16" s="56"/>
      <c r="E16" s="56"/>
      <c r="F16" s="56"/>
      <c r="G16" s="99"/>
      <c r="H16" s="96"/>
      <c r="I16" s="98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56"/>
      <c r="C17" s="56"/>
      <c r="D17" s="56"/>
      <c r="E17" s="56"/>
      <c r="F17" s="56"/>
      <c r="G17" s="99"/>
      <c r="H17" s="96"/>
      <c r="I17" s="98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1.75" customHeight="1">
      <c r="A18" s="1"/>
      <c r="B18" s="56"/>
      <c r="C18" s="56"/>
      <c r="D18" s="56"/>
      <c r="E18" s="56"/>
      <c r="F18" s="56"/>
      <c r="G18" s="99"/>
      <c r="H18" s="96"/>
      <c r="I18" s="9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56"/>
      <c r="C19" s="56"/>
      <c r="D19" s="56"/>
      <c r="E19" s="56"/>
      <c r="F19" s="56"/>
      <c r="G19" s="99"/>
      <c r="H19" s="96"/>
      <c r="I19" s="98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56"/>
      <c r="C20" s="56"/>
      <c r="D20" s="56"/>
      <c r="E20" s="56"/>
      <c r="F20" s="56"/>
      <c r="G20" s="99"/>
      <c r="H20" s="96"/>
      <c r="I20" s="98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56"/>
      <c r="C21" s="56"/>
      <c r="D21" s="56"/>
      <c r="E21" s="56"/>
      <c r="F21" s="56"/>
      <c r="G21" s="99"/>
      <c r="H21" s="96"/>
      <c r="I21" s="98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56"/>
      <c r="C22" s="56"/>
      <c r="D22" s="56"/>
      <c r="E22" s="56"/>
      <c r="F22" s="56"/>
      <c r="G22" s="99"/>
      <c r="H22" s="96"/>
      <c r="I22" s="9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56"/>
      <c r="C23" s="56"/>
      <c r="D23" s="56"/>
      <c r="E23" s="56"/>
      <c r="F23" s="56"/>
      <c r="G23" s="99"/>
      <c r="H23" s="96"/>
      <c r="I23" s="98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1.75" customHeight="1">
      <c r="A24" s="1"/>
      <c r="B24" s="56"/>
      <c r="C24" s="56"/>
      <c r="D24" s="56"/>
      <c r="E24" s="56"/>
      <c r="F24" s="56"/>
      <c r="G24" s="99"/>
      <c r="H24" s="96"/>
      <c r="I24" s="98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1.75" customHeight="1">
      <c r="A25" s="1"/>
      <c r="B25" s="56"/>
      <c r="C25" s="56"/>
      <c r="D25" s="56"/>
      <c r="E25" s="56"/>
      <c r="F25" s="56"/>
      <c r="G25" s="99"/>
      <c r="H25" s="96"/>
      <c r="I25" s="98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1.75" customHeight="1">
      <c r="A26" s="1"/>
      <c r="B26" s="56"/>
      <c r="C26" s="56"/>
      <c r="D26" s="56"/>
      <c r="E26" s="56"/>
      <c r="F26" s="56"/>
      <c r="G26" s="99"/>
      <c r="H26" s="96"/>
      <c r="I26" s="98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1.75" customHeight="1">
      <c r="A27" s="1"/>
      <c r="B27" s="56"/>
      <c r="C27" s="56"/>
      <c r="D27" s="56"/>
      <c r="E27" s="56"/>
      <c r="F27" s="56"/>
      <c r="G27" s="99"/>
      <c r="H27" s="96"/>
      <c r="I27" s="98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1.75" customHeight="1">
      <c r="A28" s="1"/>
      <c r="B28" s="56"/>
      <c r="C28" s="56"/>
      <c r="D28" s="56"/>
      <c r="E28" s="56"/>
      <c r="F28" s="56"/>
      <c r="G28" s="99"/>
      <c r="H28" s="96"/>
      <c r="I28" s="98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1.75" customHeight="1">
      <c r="A29" s="1"/>
      <c r="B29" s="56"/>
      <c r="C29" s="56"/>
      <c r="D29" s="56"/>
      <c r="E29" s="56"/>
      <c r="F29" s="56"/>
      <c r="G29" s="99"/>
      <c r="H29" s="96"/>
      <c r="I29" s="98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1.75" customHeight="1">
      <c r="A30" s="1"/>
      <c r="B30" s="56"/>
      <c r="C30" s="56"/>
      <c r="D30" s="56"/>
      <c r="E30" s="56"/>
      <c r="F30" s="56"/>
      <c r="G30" s="99"/>
      <c r="H30" s="96"/>
      <c r="I30" s="98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1.75" customHeight="1">
      <c r="A31" s="1"/>
      <c r="B31" s="56"/>
      <c r="C31" s="56"/>
      <c r="D31" s="56"/>
      <c r="E31" s="56"/>
      <c r="F31" s="56"/>
      <c r="G31" s="99"/>
      <c r="H31" s="96"/>
      <c r="I31" s="98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5.5" customHeight="1">
      <c r="A34" s="1"/>
      <c r="B34" s="94" t="s">
        <v>212</v>
      </c>
      <c r="C34" s="4"/>
      <c r="D34" s="4"/>
      <c r="E34" s="4"/>
      <c r="F34" s="4"/>
      <c r="G34" s="4"/>
      <c r="H34" s="4"/>
      <c r="I34" s="5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1.75" customHeight="1">
      <c r="A35" s="1"/>
      <c r="B35" s="11" t="s">
        <v>213</v>
      </c>
      <c r="C35" s="11" t="s">
        <v>214</v>
      </c>
      <c r="D35" s="11" t="s">
        <v>215</v>
      </c>
      <c r="E35" s="11" t="s">
        <v>216</v>
      </c>
      <c r="F35" s="11" t="s">
        <v>217</v>
      </c>
      <c r="G35" s="11" t="s">
        <v>218</v>
      </c>
      <c r="H35" s="11" t="s">
        <v>219</v>
      </c>
      <c r="I35" s="11" t="s">
        <v>35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1.75" customHeight="1">
      <c r="A36" s="1"/>
      <c r="B36" s="56"/>
      <c r="C36" s="56"/>
      <c r="D36" s="56"/>
      <c r="E36" s="56"/>
      <c r="F36" s="89"/>
      <c r="G36" s="89"/>
      <c r="H36" s="78">
        <f t="shared" ref="H36:H51" si="1">IFERROR(F36-G36,"—")</f>
        <v>0</v>
      </c>
      <c r="I36" s="5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1.75" customHeight="1">
      <c r="A37" s="1"/>
      <c r="B37" s="56"/>
      <c r="C37" s="56"/>
      <c r="D37" s="56"/>
      <c r="E37" s="56"/>
      <c r="F37" s="89"/>
      <c r="G37" s="89"/>
      <c r="H37" s="78">
        <f t="shared" si="1"/>
        <v>0</v>
      </c>
      <c r="I37" s="5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1.75" customHeight="1">
      <c r="A38" s="1"/>
      <c r="B38" s="56"/>
      <c r="C38" s="56"/>
      <c r="D38" s="56"/>
      <c r="E38" s="56"/>
      <c r="F38" s="89"/>
      <c r="G38" s="89"/>
      <c r="H38" s="78">
        <f t="shared" si="1"/>
        <v>0</v>
      </c>
      <c r="I38" s="5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1.75" customHeight="1">
      <c r="A39" s="1"/>
      <c r="B39" s="56"/>
      <c r="C39" s="56"/>
      <c r="D39" s="56"/>
      <c r="E39" s="56"/>
      <c r="F39" s="89"/>
      <c r="G39" s="89"/>
      <c r="H39" s="78">
        <f t="shared" si="1"/>
        <v>0</v>
      </c>
      <c r="I39" s="5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1.75" customHeight="1">
      <c r="A40" s="1"/>
      <c r="B40" s="56"/>
      <c r="C40" s="56"/>
      <c r="D40" s="56"/>
      <c r="E40" s="56"/>
      <c r="F40" s="89"/>
      <c r="G40" s="89"/>
      <c r="H40" s="78">
        <f t="shared" si="1"/>
        <v>0</v>
      </c>
      <c r="I40" s="5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1.75" customHeight="1">
      <c r="A41" s="1"/>
      <c r="B41" s="56"/>
      <c r="C41" s="56"/>
      <c r="D41" s="56"/>
      <c r="E41" s="56"/>
      <c r="F41" s="89"/>
      <c r="G41" s="89"/>
      <c r="H41" s="78">
        <f t="shared" si="1"/>
        <v>0</v>
      </c>
      <c r="I41" s="5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1.75" customHeight="1">
      <c r="A42" s="1"/>
      <c r="B42" s="56"/>
      <c r="C42" s="56"/>
      <c r="D42" s="56"/>
      <c r="E42" s="56"/>
      <c r="F42" s="89"/>
      <c r="G42" s="89"/>
      <c r="H42" s="78">
        <f t="shared" si="1"/>
        <v>0</v>
      </c>
      <c r="I42" s="5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1.75" customHeight="1">
      <c r="A43" s="1"/>
      <c r="B43" s="56"/>
      <c r="C43" s="56"/>
      <c r="D43" s="56"/>
      <c r="E43" s="56"/>
      <c r="F43" s="89"/>
      <c r="G43" s="89"/>
      <c r="H43" s="78">
        <f t="shared" si="1"/>
        <v>0</v>
      </c>
      <c r="I43" s="5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1.75" customHeight="1">
      <c r="A44" s="1"/>
      <c r="B44" s="56"/>
      <c r="C44" s="56"/>
      <c r="D44" s="56"/>
      <c r="E44" s="56"/>
      <c r="F44" s="89"/>
      <c r="G44" s="89"/>
      <c r="H44" s="78">
        <f t="shared" si="1"/>
        <v>0</v>
      </c>
      <c r="I44" s="5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1.75" customHeight="1">
      <c r="A45" s="1"/>
      <c r="B45" s="56"/>
      <c r="C45" s="56"/>
      <c r="D45" s="56"/>
      <c r="E45" s="56"/>
      <c r="F45" s="89"/>
      <c r="G45" s="89"/>
      <c r="H45" s="78">
        <f t="shared" si="1"/>
        <v>0</v>
      </c>
      <c r="I45" s="5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1.75" customHeight="1">
      <c r="A46" s="1"/>
      <c r="B46" s="56"/>
      <c r="C46" s="56"/>
      <c r="D46" s="56"/>
      <c r="E46" s="56"/>
      <c r="F46" s="89"/>
      <c r="G46" s="89"/>
      <c r="H46" s="78">
        <f t="shared" si="1"/>
        <v>0</v>
      </c>
      <c r="I46" s="5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1.75" customHeight="1">
      <c r="A47" s="1"/>
      <c r="B47" s="56"/>
      <c r="C47" s="56"/>
      <c r="D47" s="56"/>
      <c r="E47" s="56"/>
      <c r="F47" s="89"/>
      <c r="G47" s="89"/>
      <c r="H47" s="78">
        <f t="shared" si="1"/>
        <v>0</v>
      </c>
      <c r="I47" s="5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1.75" customHeight="1">
      <c r="A48" s="1"/>
      <c r="B48" s="56"/>
      <c r="C48" s="56"/>
      <c r="D48" s="56"/>
      <c r="E48" s="56"/>
      <c r="F48" s="89"/>
      <c r="G48" s="89"/>
      <c r="H48" s="78">
        <f t="shared" si="1"/>
        <v>0</v>
      </c>
      <c r="I48" s="5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1.75" customHeight="1">
      <c r="A49" s="1"/>
      <c r="B49" s="56"/>
      <c r="C49" s="56"/>
      <c r="D49" s="56"/>
      <c r="E49" s="56"/>
      <c r="F49" s="89"/>
      <c r="G49" s="89"/>
      <c r="H49" s="78">
        <f t="shared" si="1"/>
        <v>0</v>
      </c>
      <c r="I49" s="5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1.75" customHeight="1">
      <c r="A50" s="1"/>
      <c r="B50" s="56"/>
      <c r="C50" s="56"/>
      <c r="D50" s="56"/>
      <c r="E50" s="56"/>
      <c r="F50" s="89"/>
      <c r="G50" s="89"/>
      <c r="H50" s="78">
        <f t="shared" si="1"/>
        <v>0</v>
      </c>
      <c r="I50" s="5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1.75" customHeight="1">
      <c r="A51" s="1"/>
      <c r="B51" s="56"/>
      <c r="C51" s="56"/>
      <c r="D51" s="56"/>
      <c r="E51" s="56"/>
      <c r="F51" s="89"/>
      <c r="G51" s="89"/>
      <c r="H51" s="78">
        <f t="shared" si="1"/>
        <v>0</v>
      </c>
      <c r="I51" s="5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0">
    <mergeCell ref="B2:I2"/>
    <mergeCell ref="B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G21:I21"/>
    <mergeCell ref="G22:I22"/>
    <mergeCell ref="G23:I23"/>
    <mergeCell ref="G31:I31"/>
    <mergeCell ref="B34:I34"/>
    <mergeCell ref="G24:I24"/>
    <mergeCell ref="G25:I25"/>
    <mergeCell ref="G26:I26"/>
    <mergeCell ref="G27:I27"/>
    <mergeCell ref="G28:I28"/>
    <mergeCell ref="G29:I29"/>
    <mergeCell ref="G30:I30"/>
  </mergeCells>
  <printOptions/>
  <pageMargins bottom="1.0" footer="0.0" header="0.0" left="0.75" right="0.75" top="1.0"/>
  <pageSetup orientation="landscape"/>
  <drawing r:id="rId1"/>
</worksheet>
</file>